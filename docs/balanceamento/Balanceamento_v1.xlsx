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nfig" sheetId="2" state="visible" r:id="rId2"/>
    <sheet name="Ladrões" sheetId="3" state="visible" r:id="rId3"/>
    <sheet name="Upgrades" sheetId="4" state="visible" r:id="rId4"/>
    <sheet name="Golpes" sheetId="5" state="visible" r:id="rId5"/>
    <sheet name="Bicos" sheetId="6" state="visible" r:id="rId6"/>
    <sheet name="Recrutas" sheetId="7" state="visible" r:id="rId7"/>
    <sheet name="Curv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Cr$&quot; #,##0;-&quot;Cr$&quot; #,##0;-"/>
    <numFmt numFmtId="165" formatCode="0.0"/>
    <numFmt numFmtId="166" formatCode="0.0&quot; s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0" pivotButton="0" quotePrefix="0" xfId="0"/>
    <xf numFmtId="0" fontId="5" fillId="3" borderId="0" pivotButton="0" quotePrefix="0" xfId="0"/>
    <xf numFmtId="1" fontId="4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4" fontId="4" fillId="0" borderId="0" pivotButton="0" quotePrefix="0" xfId="0"/>
    <xf numFmtId="165" fontId="6" fillId="0" borderId="0" pivotButton="0" quotePrefix="0" xfId="0"/>
    <xf numFmtId="3" fontId="5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2" fontId="4" fillId="0" borderId="0" pivotButton="0" quotePrefix="0" xfId="0"/>
    <xf numFmtId="2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Nicolas</author>
  </authors>
  <commentList>
    <comment ref="B5" authorId="0" shapeId="0">
      <text>
        <t>Hoje está fixo no MockEconomyService (0,1 por nível). Vira campo de dado na issue #37.</t>
      </text>
    </comment>
    <comment ref="B24" authorId="0" shapeId="0">
      <text>
        <t>Exemplo: latinha + 2 ladrões nível 3 no bico certo.</t>
      </text>
    </comment>
  </commentList>
</comments>
</file>

<file path=xl/comments/comment2.xml><?xml version="1.0" encoding="utf-8"?>
<comments xmlns="http://schemas.openxmlformats.org/spreadsheetml/2006/main">
  <authors>
    <author>Nicolas</author>
  </authors>
  <commentList>
    <comment ref="C5" authorId="0" shapeId="0">
      <text>
        <t>Saída do simulador (valor copiado, não fórmula).</t>
      </text>
    </comment>
    <comment ref="D5" authorId="0" shapeId="0">
      <text>
        <t>Saída do simulador (valor copiado, não fórmula).</t>
      </text>
    </comment>
    <comment ref="E5" authorId="0" shapeId="0">
      <text>
        <t>Saída do simulador (valor copiado, não fórmula).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 Firma: planilha de balanceamento v1</t>
        </is>
      </c>
    </row>
    <row r="3">
      <c r="A3" s="2" t="inlineStr">
        <is>
          <t>Fonte dos números do jogo (issue #33). Dono: Nicolas.</t>
        </is>
      </c>
    </row>
    <row r="4">
      <c r="A4" s="2" t="inlineStr"/>
    </row>
    <row r="5">
      <c r="A5" s="3" t="inlineStr">
        <is>
          <t>Como usar</t>
        </is>
      </c>
    </row>
    <row r="6">
      <c r="A6" s="2" t="inlineStr">
        <is>
          <t>1. Azul = número copiado do asset. Mude aqui pra testar e veja as abas recalcularem.</t>
        </is>
      </c>
    </row>
    <row r="7">
      <c r="A7" s="2" t="inlineStr">
        <is>
          <t>2. Amarelo (aba Config) = cenário: nível da crew e dos upgrades que você quer olhar.</t>
        </is>
      </c>
    </row>
    <row r="8">
      <c r="A8" s="2" t="inlineStr">
        <is>
          <t>3. Gostou? Leve o número pro asset no Unity (GameConfig, HeistDef, UpgradeDef) e rode o simulador:</t>
        </is>
      </c>
    </row>
    <row r="9">
      <c r="A9" s="2" t="inlineStr">
        <is>
          <t xml:space="preserve">      python docs/balanceamento/simulador.py</t>
        </is>
      </c>
    </row>
    <row r="10">
      <c r="A10" s="2" t="inlineStr">
        <is>
          <t>4. Registre a mudança no docs/BALANCEAMENTO.md (Registro de ajustes).</t>
        </is>
      </c>
    </row>
    <row r="11">
      <c r="A11" s="2" t="inlineStr"/>
    </row>
    <row r="12">
      <c r="A12" s="3" t="inlineStr">
        <is>
          <t>Abas</t>
        </is>
      </c>
    </row>
    <row r="13">
      <c r="A13" s="2" t="inlineStr">
        <is>
          <t>Config: números globais e o cenário · Ladrões: atributos e XP por nível · Upgrades: custo por nível</t>
        </is>
      </c>
    </row>
    <row r="14">
      <c r="A14" s="2" t="inlineStr">
        <is>
          <t>Golpes: tempo e alerta sala a sala, resumo e tabela por nível da crew · Bicos: renda e offline</t>
        </is>
      </c>
    </row>
    <row r="15">
      <c r="A15" s="2" t="inlineStr">
        <is>
          <t>Recrutas: preço por nível · Curva: metas de tempo × simulação, e o que mudou na v1</t>
        </is>
      </c>
    </row>
    <row r="16">
      <c r="A16" s="2" t="inlineStr"/>
    </row>
    <row r="17">
      <c r="A17" s="2" t="inlineStr">
        <is>
          <t>Cores: azul = entrada · preto = fórmula · verde = valor puxado de outra aba · vermelho/verde nas tabelas = toca/não toca sirene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</cols>
  <sheetData>
    <row r="1">
      <c r="A1" s="1" t="inlineStr">
        <is>
          <t>Config global e cenário</t>
        </is>
      </c>
    </row>
    <row r="2">
      <c r="A2" s="4" t="inlineStr">
        <is>
          <t>Azul = número copiado do GameConfig.asset (mude aqui pra testar, depois leve pro asset). Amarelo = cenário que você escolhe.</t>
        </is>
      </c>
    </row>
    <row r="4">
      <c r="A4" s="5" t="inlineStr">
        <is>
          <t>Campo</t>
        </is>
      </c>
      <c r="B4" s="5" t="inlineStr">
        <is>
          <t>Valor</t>
        </is>
      </c>
      <c r="C4" s="5" t="inlineStr">
        <is>
          <t>Onde fica / o que é</t>
        </is>
      </c>
    </row>
    <row r="5">
      <c r="A5" s="2" t="inlineStr">
        <is>
          <t>noSpecialistPowerFactor</t>
        </is>
      </c>
      <c r="B5" s="6" t="n">
        <v>0.35</v>
      </c>
      <c r="C5" s="2" t="inlineStr">
        <is>
          <t>Poder sem especialista = fator × maior Perícia</t>
        </is>
      </c>
    </row>
    <row r="6">
      <c r="A6" s="2" t="inlineStr">
        <is>
          <t>noSpecialistAlertMult</t>
        </is>
      </c>
      <c r="B6" s="6" t="n">
        <v>2</v>
      </c>
      <c r="C6" s="2" t="inlineStr">
        <is>
          <t>Alerta sem especialista é multiplicado por isso</t>
        </is>
      </c>
    </row>
    <row r="7">
      <c r="A7" s="2" t="inlineStr">
        <is>
          <t>stealthAlertFactor</t>
        </is>
      </c>
      <c r="B7" s="6" t="n">
        <v>0.5</v>
      </c>
      <c r="C7" s="2" t="inlineStr">
        <is>
          <t>Quanto a Discrição média corta do alerta (0,5 = até −50%)</t>
        </is>
      </c>
    </row>
    <row r="8">
      <c r="A8" s="2" t="inlineStr">
        <is>
          <t>policeCountdownSeconds</t>
        </is>
      </c>
      <c r="B8" s="6" t="n">
        <v>10</v>
      </c>
      <c r="C8" s="2" t="inlineStr">
        <is>
          <t>Segundos da sirene até a polícia chegar</t>
        </is>
      </c>
    </row>
    <row r="9">
      <c r="A9" s="2" t="inlineStr">
        <is>
          <t>hastyEscapeLootKeep</t>
        </is>
      </c>
      <c r="B9" s="6" t="n">
        <v>0.8</v>
      </c>
      <c r="C9" s="2" t="inlineStr">
        <is>
          <t>Sacola na fuga apressada (com sirene)</t>
        </is>
      </c>
    </row>
    <row r="10">
      <c r="A10" s="2" t="inlineStr">
        <is>
          <t>forcedEscapeLootKeep</t>
        </is>
      </c>
      <c r="B10" s="6" t="n">
        <v>0.5</v>
      </c>
      <c r="C10" s="2" t="inlineStr">
        <is>
          <t>Sacola na fuga forçada (polícia chegou)</t>
        </is>
      </c>
    </row>
    <row r="11">
      <c r="A11" s="2" t="inlineStr">
        <is>
          <t>baseArrestChance</t>
        </is>
      </c>
      <c r="B11" s="6" t="n">
        <v>0.4</v>
      </c>
      <c r="C11" s="2" t="inlineStr">
        <is>
          <t>Chance base de prisão na fuga forçada</t>
        </is>
      </c>
    </row>
    <row r="12">
      <c r="A12" s="2" t="inlineStr">
        <is>
          <t>xpPerRoom</t>
        </is>
      </c>
      <c r="B12" s="6" t="n">
        <v>1</v>
      </c>
      <c r="C12" s="2" t="inlineStr">
        <is>
          <t>XP por sala limpa</t>
        </is>
      </c>
    </row>
    <row r="13">
      <c r="A13" s="2" t="inlineStr">
        <is>
          <t>xpPerLevelFactor</t>
        </is>
      </c>
      <c r="B13" s="6" t="n">
        <v>5</v>
      </c>
      <c r="C13" s="2" t="inlineStr">
        <is>
          <t>XP pro próximo nível = fator × nível</t>
        </is>
      </c>
    </row>
    <row r="14">
      <c r="A14" s="2" t="inlineStr">
        <is>
          <t>maxLevel</t>
        </is>
      </c>
      <c r="B14" s="6" t="n">
        <v>10</v>
      </c>
      <c r="C14" s="2" t="inlineStr">
        <is>
          <t>Nível máximo do ladrão</t>
        </is>
      </c>
    </row>
    <row r="15">
      <c r="A15" s="2" t="inlineStr">
        <is>
          <t>recruitBaseCost</t>
        </is>
      </c>
      <c r="B15" s="6" t="n">
        <v>50</v>
      </c>
      <c r="C15" s="2" t="inlineStr">
        <is>
          <t>Recruta nível 1</t>
        </is>
      </c>
    </row>
    <row r="16">
      <c r="A16" s="2" t="inlineStr">
        <is>
          <t>recruitCostGrowthPerLevel</t>
        </is>
      </c>
      <c r="B16" s="6" t="n">
        <v>1.8</v>
      </c>
      <c r="C16" s="2" t="inlineStr">
        <is>
          <t>Crescimento do preço do recruta por nível</t>
        </is>
      </c>
    </row>
    <row r="17">
      <c r="A17" s="2" t="inlineStr">
        <is>
          <t>scavengeIncomePerSecond</t>
        </is>
      </c>
      <c r="B17" s="6" t="n">
        <v>1</v>
      </c>
      <c r="C17" s="2" t="inlineStr">
        <is>
          <t>Catar latinha (Cr$/s, sem ladrão)</t>
        </is>
      </c>
    </row>
    <row r="18">
      <c r="A18" s="2" t="inlineStr">
        <is>
          <t>offlineCapHours</t>
        </is>
      </c>
      <c r="B18" s="6" t="n">
        <v>4</v>
      </c>
      <c r="C18" s="2" t="inlineStr">
        <is>
          <t>Teto do ganho offline (horas)</t>
        </is>
      </c>
    </row>
    <row r="19">
      <c r="A19" s="2" t="inlineStr">
        <is>
          <t>offlineRate</t>
        </is>
      </c>
      <c r="B19" s="6" t="n">
        <v>0.5</v>
      </c>
      <c r="C19" s="2" t="inlineStr">
        <is>
          <t>Fração da renda que entra offline</t>
        </is>
      </c>
    </row>
    <row r="20">
      <c r="A20" s="2" t="inlineStr">
        <is>
          <t>fameDivisor</t>
        </is>
      </c>
      <c r="B20" s="6" t="n">
        <v>10000</v>
      </c>
      <c r="C20" s="2" t="inlineStr">
        <is>
          <t>Fama no prestígio = piso(√(loot do ciclo / divisor))</t>
        </is>
      </c>
    </row>
    <row r="21">
      <c r="A21" s="2" t="inlineStr">
        <is>
          <t>wantedDifficultyMult</t>
        </is>
      </c>
      <c r="B21" s="6" t="n">
        <v>1.25</v>
      </c>
      <c r="C21" s="2" t="inlineStr">
        <is>
          <t>Procurado: dificuldade × isso por nível</t>
        </is>
      </c>
    </row>
    <row r="22">
      <c r="A22" s="2" t="inlineStr">
        <is>
          <t>wantedLootMult</t>
        </is>
      </c>
      <c r="B22" s="6" t="n">
        <v>1.5</v>
      </c>
      <c r="C22" s="2" t="inlineStr">
        <is>
          <t>Procurado: loot × isso por nível</t>
        </is>
      </c>
    </row>
    <row r="23">
      <c r="A23" s="2" t="inlineStr">
        <is>
          <t>wantedAlertMult</t>
        </is>
      </c>
      <c r="B23" s="6" t="n">
        <v>1.1</v>
      </c>
      <c r="C23" s="2" t="inlineStr">
        <is>
          <t>Procurado: alerta × isso por nível</t>
        </is>
      </c>
    </row>
    <row r="25">
      <c r="A25" s="3" t="inlineStr">
        <is>
          <t>Cenário (usado nas abas Golpes e Bicos)</t>
        </is>
      </c>
    </row>
    <row r="26">
      <c r="A26" s="2" t="inlineStr">
        <is>
          <t>Nível da crew</t>
        </is>
      </c>
      <c r="B26" s="7" t="n">
        <v>3</v>
      </c>
      <c r="C26" s="2" t="inlineStr">
        <is>
          <t>Nível dos especialistas no golpe (1 a 10)</t>
        </is>
      </c>
    </row>
    <row r="27">
      <c r="A27" s="2" t="inlineStr">
        <is>
          <t>Nível de Ferramentas</t>
        </is>
      </c>
      <c r="B27" s="7" t="n">
        <v>2</v>
      </c>
      <c r="C27" s="2" t="inlineStr">
        <is>
          <t>Upgrade: +Perícia de todos</t>
        </is>
      </c>
    </row>
    <row r="28">
      <c r="A28" s="2" t="inlineStr">
        <is>
          <t>Nível de Tênis de molinha</t>
        </is>
      </c>
      <c r="B28" s="7" t="n">
        <v>2</v>
      </c>
      <c r="C28" s="2" t="inlineStr">
        <is>
          <t>Upgrade: +Discrição de todos</t>
        </is>
      </c>
    </row>
    <row r="29">
      <c r="A29" s="2" t="inlineStr">
        <is>
          <t>Nível de Lavanderia</t>
        </is>
      </c>
      <c r="B29" s="7" t="n">
        <v>0</v>
      </c>
      <c r="C29" s="2" t="inlineStr">
        <is>
          <t>Upgrade: +% de todo loot</t>
        </is>
      </c>
    </row>
    <row r="30">
      <c r="A30" s="2" t="inlineStr">
        <is>
          <t>Nível de Ponto de bico</t>
        </is>
      </c>
      <c r="B30" s="7" t="n">
        <v>0</v>
      </c>
      <c r="C30" s="2" t="inlineStr">
        <is>
          <t>Upgrade: +% de renda dos bicos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Atributos por nível (sem a variação de ±15% do sorteio)</t>
        </is>
      </c>
    </row>
    <row r="3">
      <c r="A3" s="5" t="inlineStr">
        <is>
          <t>Tipo</t>
        </is>
      </c>
      <c r="B3" s="5" t="inlineStr">
        <is>
          <t>Perícia base</t>
        </is>
      </c>
      <c r="C3" s="5" t="inlineStr">
        <is>
          <t>Discrição base</t>
        </is>
      </c>
      <c r="D3" s="5" t="inlineStr">
        <is>
          <t>Perícia/nível</t>
        </is>
      </c>
      <c r="E3" s="5" t="inlineStr">
        <is>
          <t>Discrição/nível</t>
        </is>
      </c>
      <c r="F3" s="5" t="inlineStr">
        <is>
          <t>+s na polícia</t>
        </is>
      </c>
      <c r="G3" s="5" t="inlineStr">
        <is>
          <t>+sacola na fuga</t>
        </is>
      </c>
    </row>
    <row r="4">
      <c r="A4" s="2" t="inlineStr">
        <is>
          <t>Gazua</t>
        </is>
      </c>
      <c r="B4" s="6" t="n">
        <v>35</v>
      </c>
      <c r="C4" s="6" t="n">
        <v>30</v>
      </c>
      <c r="D4" s="6" t="n">
        <v>7</v>
      </c>
      <c r="E4" s="6" t="n">
        <v>4</v>
      </c>
      <c r="F4" s="6" t="n">
        <v>0</v>
      </c>
      <c r="G4" s="6" t="n">
        <v>0</v>
      </c>
    </row>
    <row r="5">
      <c r="A5" s="2" t="inlineStr">
        <is>
          <t>Disquete</t>
        </is>
      </c>
      <c r="B5" s="6" t="n">
        <v>35</v>
      </c>
      <c r="C5" s="6" t="n">
        <v>35</v>
      </c>
      <c r="D5" s="6" t="n">
        <v>7</v>
      </c>
      <c r="E5" s="6" t="n">
        <v>4</v>
      </c>
      <c r="F5" s="6" t="n">
        <v>0</v>
      </c>
      <c r="G5" s="6" t="n">
        <v>0</v>
      </c>
    </row>
    <row r="6">
      <c r="A6" s="2" t="inlineStr">
        <is>
          <t>171</t>
        </is>
      </c>
      <c r="B6" s="6" t="n">
        <v>35</v>
      </c>
      <c r="C6" s="6" t="n">
        <v>30</v>
      </c>
      <c r="D6" s="6" t="n">
        <v>7</v>
      </c>
      <c r="E6" s="6" t="n">
        <v>4</v>
      </c>
      <c r="F6" s="6" t="n">
        <v>0</v>
      </c>
      <c r="G6" s="6" t="n">
        <v>0</v>
      </c>
    </row>
    <row r="7">
      <c r="A7" s="2" t="inlineStr">
        <is>
          <t>Pé-na-Tábua</t>
        </is>
      </c>
      <c r="B7" s="6" t="n">
        <v>25</v>
      </c>
      <c r="C7" s="6" t="n">
        <v>30</v>
      </c>
      <c r="D7" s="6" t="n">
        <v>7</v>
      </c>
      <c r="E7" s="6" t="n">
        <v>4</v>
      </c>
      <c r="F7" s="6" t="n">
        <v>4</v>
      </c>
      <c r="G7" s="6" t="n">
        <v>0.1</v>
      </c>
    </row>
    <row r="10">
      <c r="A10" s="3" t="inlineStr">
        <is>
          <t>Perícia por nível</t>
        </is>
      </c>
    </row>
    <row r="11">
      <c r="A11" s="5" t="inlineStr">
        <is>
          <t>Tipo</t>
        </is>
      </c>
      <c r="B11" s="5" t="inlineStr">
        <is>
          <t>Nv 1</t>
        </is>
      </c>
      <c r="C11" s="5" t="inlineStr">
        <is>
          <t>Nv 2</t>
        </is>
      </c>
      <c r="D11" s="5" t="inlineStr">
        <is>
          <t>Nv 3</t>
        </is>
      </c>
      <c r="E11" s="5" t="inlineStr">
        <is>
          <t>Nv 4</t>
        </is>
      </c>
      <c r="F11" s="5" t="inlineStr">
        <is>
          <t>Nv 5</t>
        </is>
      </c>
      <c r="G11" s="5" t="inlineStr">
        <is>
          <t>Nv 6</t>
        </is>
      </c>
      <c r="H11" s="5" t="inlineStr">
        <is>
          <t>Nv 7</t>
        </is>
      </c>
      <c r="I11" s="5" t="inlineStr">
        <is>
          <t>Nv 8</t>
        </is>
      </c>
      <c r="J11" s="5" t="inlineStr">
        <is>
          <t>Nv 9</t>
        </is>
      </c>
      <c r="K11" s="5" t="inlineStr">
        <is>
          <t>Nv 10</t>
        </is>
      </c>
    </row>
    <row r="12">
      <c r="A12" s="2" t="inlineStr">
        <is>
          <t>Gazua</t>
        </is>
      </c>
      <c r="B12" s="8">
        <f>$B$4+$D$4*(1-1)</f>
        <v/>
      </c>
      <c r="C12" s="8">
        <f>$B$4+$D$4*(2-1)</f>
        <v/>
      </c>
      <c r="D12" s="8">
        <f>$B$4+$D$4*(3-1)</f>
        <v/>
      </c>
      <c r="E12" s="8">
        <f>$B$4+$D$4*(4-1)</f>
        <v/>
      </c>
      <c r="F12" s="8">
        <f>$B$4+$D$4*(5-1)</f>
        <v/>
      </c>
      <c r="G12" s="8">
        <f>$B$4+$D$4*(6-1)</f>
        <v/>
      </c>
      <c r="H12" s="8">
        <f>$B$4+$D$4*(7-1)</f>
        <v/>
      </c>
      <c r="I12" s="8">
        <f>$B$4+$D$4*(8-1)</f>
        <v/>
      </c>
      <c r="J12" s="8">
        <f>$B$4+$D$4*(9-1)</f>
        <v/>
      </c>
      <c r="K12" s="8">
        <f>$B$4+$D$4*(10-1)</f>
        <v/>
      </c>
    </row>
    <row r="13">
      <c r="A13" s="2" t="inlineStr">
        <is>
          <t>Disquete</t>
        </is>
      </c>
      <c r="B13" s="8">
        <f>$B$5+$D$5*(1-1)</f>
        <v/>
      </c>
      <c r="C13" s="8">
        <f>$B$5+$D$5*(2-1)</f>
        <v/>
      </c>
      <c r="D13" s="8">
        <f>$B$5+$D$5*(3-1)</f>
        <v/>
      </c>
      <c r="E13" s="8">
        <f>$B$5+$D$5*(4-1)</f>
        <v/>
      </c>
      <c r="F13" s="8">
        <f>$B$5+$D$5*(5-1)</f>
        <v/>
      </c>
      <c r="G13" s="8">
        <f>$B$5+$D$5*(6-1)</f>
        <v/>
      </c>
      <c r="H13" s="8">
        <f>$B$5+$D$5*(7-1)</f>
        <v/>
      </c>
      <c r="I13" s="8">
        <f>$B$5+$D$5*(8-1)</f>
        <v/>
      </c>
      <c r="J13" s="8">
        <f>$B$5+$D$5*(9-1)</f>
        <v/>
      </c>
      <c r="K13" s="8">
        <f>$B$5+$D$5*(10-1)</f>
        <v/>
      </c>
    </row>
    <row r="14">
      <c r="A14" s="2" t="inlineStr">
        <is>
          <t>171</t>
        </is>
      </c>
      <c r="B14" s="8">
        <f>$B$6+$D$6*(1-1)</f>
        <v/>
      </c>
      <c r="C14" s="8">
        <f>$B$6+$D$6*(2-1)</f>
        <v/>
      </c>
      <c r="D14" s="8">
        <f>$B$6+$D$6*(3-1)</f>
        <v/>
      </c>
      <c r="E14" s="8">
        <f>$B$6+$D$6*(4-1)</f>
        <v/>
      </c>
      <c r="F14" s="8">
        <f>$B$6+$D$6*(5-1)</f>
        <v/>
      </c>
      <c r="G14" s="8">
        <f>$B$6+$D$6*(6-1)</f>
        <v/>
      </c>
      <c r="H14" s="8">
        <f>$B$6+$D$6*(7-1)</f>
        <v/>
      </c>
      <c r="I14" s="8">
        <f>$B$6+$D$6*(8-1)</f>
        <v/>
      </c>
      <c r="J14" s="8">
        <f>$B$6+$D$6*(9-1)</f>
        <v/>
      </c>
      <c r="K14" s="8">
        <f>$B$6+$D$6*(10-1)</f>
        <v/>
      </c>
    </row>
    <row r="15">
      <c r="A15" s="2" t="inlineStr">
        <is>
          <t>Pé-na-Tábua</t>
        </is>
      </c>
      <c r="B15" s="8">
        <f>$B$7+$D$7*(1-1)</f>
        <v/>
      </c>
      <c r="C15" s="8">
        <f>$B$7+$D$7*(2-1)</f>
        <v/>
      </c>
      <c r="D15" s="8">
        <f>$B$7+$D$7*(3-1)</f>
        <v/>
      </c>
      <c r="E15" s="8">
        <f>$B$7+$D$7*(4-1)</f>
        <v/>
      </c>
      <c r="F15" s="8">
        <f>$B$7+$D$7*(5-1)</f>
        <v/>
      </c>
      <c r="G15" s="8">
        <f>$B$7+$D$7*(6-1)</f>
        <v/>
      </c>
      <c r="H15" s="8">
        <f>$B$7+$D$7*(7-1)</f>
        <v/>
      </c>
      <c r="I15" s="8">
        <f>$B$7+$D$7*(8-1)</f>
        <v/>
      </c>
      <c r="J15" s="8">
        <f>$B$7+$D$7*(9-1)</f>
        <v/>
      </c>
      <c r="K15" s="8">
        <f>$B$7+$D$7*(10-1)</f>
        <v/>
      </c>
    </row>
    <row r="17">
      <c r="A17" s="3" t="inlineStr">
        <is>
          <t>Discrição por nível</t>
        </is>
      </c>
    </row>
    <row r="18">
      <c r="A18" s="5" t="inlineStr">
        <is>
          <t>Tipo</t>
        </is>
      </c>
      <c r="B18" s="5" t="inlineStr">
        <is>
          <t>Nv 1</t>
        </is>
      </c>
      <c r="C18" s="5" t="inlineStr">
        <is>
          <t>Nv 2</t>
        </is>
      </c>
      <c r="D18" s="5" t="inlineStr">
        <is>
          <t>Nv 3</t>
        </is>
      </c>
      <c r="E18" s="5" t="inlineStr">
        <is>
          <t>Nv 4</t>
        </is>
      </c>
      <c r="F18" s="5" t="inlineStr">
        <is>
          <t>Nv 5</t>
        </is>
      </c>
      <c r="G18" s="5" t="inlineStr">
        <is>
          <t>Nv 6</t>
        </is>
      </c>
      <c r="H18" s="5" t="inlineStr">
        <is>
          <t>Nv 7</t>
        </is>
      </c>
      <c r="I18" s="5" t="inlineStr">
        <is>
          <t>Nv 8</t>
        </is>
      </c>
      <c r="J18" s="5" t="inlineStr">
        <is>
          <t>Nv 9</t>
        </is>
      </c>
      <c r="K18" s="5" t="inlineStr">
        <is>
          <t>Nv 10</t>
        </is>
      </c>
    </row>
    <row r="19">
      <c r="A19" s="2" t="inlineStr">
        <is>
          <t>Gazua</t>
        </is>
      </c>
      <c r="B19" s="8">
        <f>$C$4+$E$4*(1-1)</f>
        <v/>
      </c>
      <c r="C19" s="8">
        <f>$C$4+$E$4*(2-1)</f>
        <v/>
      </c>
      <c r="D19" s="8">
        <f>$C$4+$E$4*(3-1)</f>
        <v/>
      </c>
      <c r="E19" s="8">
        <f>$C$4+$E$4*(4-1)</f>
        <v/>
      </c>
      <c r="F19" s="8">
        <f>$C$4+$E$4*(5-1)</f>
        <v/>
      </c>
      <c r="G19" s="8">
        <f>$C$4+$E$4*(6-1)</f>
        <v/>
      </c>
      <c r="H19" s="8">
        <f>$C$4+$E$4*(7-1)</f>
        <v/>
      </c>
      <c r="I19" s="8">
        <f>$C$4+$E$4*(8-1)</f>
        <v/>
      </c>
      <c r="J19" s="8">
        <f>$C$4+$E$4*(9-1)</f>
        <v/>
      </c>
      <c r="K19" s="8">
        <f>$C$4+$E$4*(10-1)</f>
        <v/>
      </c>
    </row>
    <row r="20">
      <c r="A20" s="2" t="inlineStr">
        <is>
          <t>Disquete</t>
        </is>
      </c>
      <c r="B20" s="8">
        <f>$C$5+$E$5*(1-1)</f>
        <v/>
      </c>
      <c r="C20" s="8">
        <f>$C$5+$E$5*(2-1)</f>
        <v/>
      </c>
      <c r="D20" s="8">
        <f>$C$5+$E$5*(3-1)</f>
        <v/>
      </c>
      <c r="E20" s="8">
        <f>$C$5+$E$5*(4-1)</f>
        <v/>
      </c>
      <c r="F20" s="8">
        <f>$C$5+$E$5*(5-1)</f>
        <v/>
      </c>
      <c r="G20" s="8">
        <f>$C$5+$E$5*(6-1)</f>
        <v/>
      </c>
      <c r="H20" s="8">
        <f>$C$5+$E$5*(7-1)</f>
        <v/>
      </c>
      <c r="I20" s="8">
        <f>$C$5+$E$5*(8-1)</f>
        <v/>
      </c>
      <c r="J20" s="8">
        <f>$C$5+$E$5*(9-1)</f>
        <v/>
      </c>
      <c r="K20" s="8">
        <f>$C$5+$E$5*(10-1)</f>
        <v/>
      </c>
    </row>
    <row r="21">
      <c r="A21" s="2" t="inlineStr">
        <is>
          <t>171</t>
        </is>
      </c>
      <c r="B21" s="8">
        <f>$C$6+$E$6*(1-1)</f>
        <v/>
      </c>
      <c r="C21" s="8">
        <f>$C$6+$E$6*(2-1)</f>
        <v/>
      </c>
      <c r="D21" s="8">
        <f>$C$6+$E$6*(3-1)</f>
        <v/>
      </c>
      <c r="E21" s="8">
        <f>$C$6+$E$6*(4-1)</f>
        <v/>
      </c>
      <c r="F21" s="8">
        <f>$C$6+$E$6*(5-1)</f>
        <v/>
      </c>
      <c r="G21" s="8">
        <f>$C$6+$E$6*(6-1)</f>
        <v/>
      </c>
      <c r="H21" s="8">
        <f>$C$6+$E$6*(7-1)</f>
        <v/>
      </c>
      <c r="I21" s="8">
        <f>$C$6+$E$6*(8-1)</f>
        <v/>
      </c>
      <c r="J21" s="8">
        <f>$C$6+$E$6*(9-1)</f>
        <v/>
      </c>
      <c r="K21" s="8">
        <f>$C$6+$E$6*(10-1)</f>
        <v/>
      </c>
    </row>
    <row r="22">
      <c r="A22" s="2" t="inlineStr">
        <is>
          <t>Pé-na-Tábua</t>
        </is>
      </c>
      <c r="B22" s="8">
        <f>$C$7+$E$7*(1-1)</f>
        <v/>
      </c>
      <c r="C22" s="8">
        <f>$C$7+$E$7*(2-1)</f>
        <v/>
      </c>
      <c r="D22" s="8">
        <f>$C$7+$E$7*(3-1)</f>
        <v/>
      </c>
      <c r="E22" s="8">
        <f>$C$7+$E$7*(4-1)</f>
        <v/>
      </c>
      <c r="F22" s="8">
        <f>$C$7+$E$7*(5-1)</f>
        <v/>
      </c>
      <c r="G22" s="8">
        <f>$C$7+$E$7*(6-1)</f>
        <v/>
      </c>
      <c r="H22" s="8">
        <f>$C$7+$E$7*(7-1)</f>
        <v/>
      </c>
      <c r="I22" s="8">
        <f>$C$7+$E$7*(8-1)</f>
        <v/>
      </c>
      <c r="J22" s="8">
        <f>$C$7+$E$7*(9-1)</f>
        <v/>
      </c>
      <c r="K22" s="8">
        <f>$C$7+$E$7*(10-1)</f>
        <v/>
      </c>
    </row>
    <row r="24">
      <c r="A24" s="3" t="inlineStr">
        <is>
          <t>XP</t>
        </is>
      </c>
    </row>
    <row r="25">
      <c r="A25" s="5" t="inlineStr">
        <is>
          <t>Conta</t>
        </is>
      </c>
      <c r="B25" s="5" t="inlineStr">
        <is>
          <t>Nv 1</t>
        </is>
      </c>
      <c r="C25" s="5" t="inlineStr">
        <is>
          <t>Nv 2</t>
        </is>
      </c>
      <c r="D25" s="5" t="inlineStr">
        <is>
          <t>Nv 3</t>
        </is>
      </c>
      <c r="E25" s="5" t="inlineStr">
        <is>
          <t>Nv 4</t>
        </is>
      </c>
      <c r="F25" s="5" t="inlineStr">
        <is>
          <t>Nv 5</t>
        </is>
      </c>
      <c r="G25" s="5" t="inlineStr">
        <is>
          <t>Nv 6</t>
        </is>
      </c>
      <c r="H25" s="5" t="inlineStr">
        <is>
          <t>Nv 7</t>
        </is>
      </c>
      <c r="I25" s="5" t="inlineStr">
        <is>
          <t>Nv 8</t>
        </is>
      </c>
      <c r="J25" s="5" t="inlineStr">
        <is>
          <t>Nv 9</t>
        </is>
      </c>
      <c r="K25" s="5" t="inlineStr">
        <is>
          <t>Nv 10</t>
        </is>
      </c>
    </row>
    <row r="26">
      <c r="A26" s="2" t="inlineStr">
        <is>
          <t>XP pro próximo nível</t>
        </is>
      </c>
      <c r="B26" s="2">
        <f>IF(1&gt;=Config!$B$14,0,Config!$B$13*1)</f>
        <v/>
      </c>
      <c r="C26" s="2">
        <f>IF(2&gt;=Config!$B$14,0,Config!$B$13*2)</f>
        <v/>
      </c>
      <c r="D26" s="2">
        <f>IF(3&gt;=Config!$B$14,0,Config!$B$13*3)</f>
        <v/>
      </c>
      <c r="E26" s="2">
        <f>IF(4&gt;=Config!$B$14,0,Config!$B$13*4)</f>
        <v/>
      </c>
      <c r="F26" s="2">
        <f>IF(5&gt;=Config!$B$14,0,Config!$B$13*5)</f>
        <v/>
      </c>
      <c r="G26" s="2">
        <f>IF(6&gt;=Config!$B$14,0,Config!$B$13*6)</f>
        <v/>
      </c>
      <c r="H26" s="2">
        <f>IF(7&gt;=Config!$B$14,0,Config!$B$13*7)</f>
        <v/>
      </c>
      <c r="I26" s="2">
        <f>IF(8&gt;=Config!$B$14,0,Config!$B$13*8)</f>
        <v/>
      </c>
      <c r="J26" s="2">
        <f>IF(9&gt;=Config!$B$14,0,Config!$B$13*9)</f>
        <v/>
      </c>
      <c r="K26" s="2">
        <f>IF(10&gt;=Config!$B$14,0,Config!$B$13*10)</f>
        <v/>
      </c>
    </row>
    <row r="27">
      <c r="A27" s="2" t="inlineStr">
        <is>
          <t>Salas limpas até chegar no nível</t>
        </is>
      </c>
      <c r="B27" s="2">
        <f>0</f>
        <v/>
      </c>
      <c r="C27" s="2">
        <f>B27+B26/Config!$B$12</f>
        <v/>
      </c>
      <c r="D27" s="2">
        <f>C27+C26/Config!$B$12</f>
        <v/>
      </c>
      <c r="E27" s="2">
        <f>D27+D26/Config!$B$12</f>
        <v/>
      </c>
      <c r="F27" s="2">
        <f>E27+E26/Config!$B$12</f>
        <v/>
      </c>
      <c r="G27" s="2">
        <f>F27+F26/Config!$B$12</f>
        <v/>
      </c>
      <c r="H27" s="2">
        <f>G27+G26/Config!$B$12</f>
        <v/>
      </c>
      <c r="I27" s="2">
        <f>H27+H26/Config!$B$12</f>
        <v/>
      </c>
      <c r="J27" s="2">
        <f>I27+I26/Config!$B$12</f>
        <v/>
      </c>
      <c r="K27" s="2">
        <f>J27+J26/Config!$B$12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2" customWidth="1" min="4" max="4"/>
    <col width="12" customWidth="1" min="5" max="5"/>
    <col width="10" customWidth="1" min="6" max="6"/>
    <col width="11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Upgrades do esconderijo: custo = custo base × crescimento^nível</t>
        </is>
      </c>
    </row>
    <row r="3">
      <c r="A3" s="5" t="inlineStr">
        <is>
          <t>id</t>
        </is>
      </c>
      <c r="B3" s="5" t="inlineStr">
        <is>
          <t>Nome</t>
        </is>
      </c>
      <c r="C3" s="5" t="inlineStr">
        <is>
          <t>Efeito</t>
        </is>
      </c>
      <c r="D3" s="5" t="inlineStr">
        <is>
          <t>Custo base</t>
        </is>
      </c>
      <c r="E3" s="5" t="inlineStr">
        <is>
          <t>Crescimento</t>
        </is>
      </c>
      <c r="F3" s="5" t="inlineStr">
        <is>
          <t>Nível máx</t>
        </is>
      </c>
      <c r="G3" s="5" t="inlineStr">
        <is>
          <t>Valor/nível</t>
        </is>
      </c>
      <c r="H3" s="5" t="inlineStr">
        <is>
          <t>Efeito no máx</t>
        </is>
      </c>
      <c r="I3" s="5" t="inlineStr">
        <is>
          <t>Custo total</t>
        </is>
      </c>
      <c r="J3" s="5" t="inlineStr">
        <is>
          <t>Nv 1</t>
        </is>
      </c>
      <c r="K3" s="5" t="inlineStr">
        <is>
          <t>Nv 2</t>
        </is>
      </c>
      <c r="L3" s="5" t="inlineStr">
        <is>
          <t>Nv 3</t>
        </is>
      </c>
      <c r="M3" s="5" t="inlineStr">
        <is>
          <t>Nv 4</t>
        </is>
      </c>
      <c r="N3" s="5" t="inlineStr">
        <is>
          <t>Nv 5</t>
        </is>
      </c>
      <c r="O3" s="5" t="inlineStr">
        <is>
          <t>Nv 6</t>
        </is>
      </c>
      <c r="P3" s="5" t="inlineStr">
        <is>
          <t>Nv 7</t>
        </is>
      </c>
      <c r="Q3" s="5" t="inlineStr">
        <is>
          <t>Nv 8</t>
        </is>
      </c>
      <c r="R3" s="5" t="inlineStr">
        <is>
          <t>Nv 9</t>
        </is>
      </c>
      <c r="S3" s="5" t="inlineStr">
        <is>
          <t>Nv 10</t>
        </is>
      </c>
    </row>
    <row r="4">
      <c r="A4" s="2" t="inlineStr">
        <is>
          <t>van</t>
        </is>
      </c>
      <c r="B4" s="2" t="inlineStr">
        <is>
          <t>Van</t>
        </is>
      </c>
      <c r="C4" s="2" t="inlineStr">
        <is>
          <t>+vaga no golpe</t>
        </is>
      </c>
      <c r="D4" s="9" t="n">
        <v>300</v>
      </c>
      <c r="E4" s="10" t="n">
        <v>4</v>
      </c>
      <c r="F4" s="6" t="n">
        <v>2</v>
      </c>
      <c r="G4" s="6" t="n">
        <v>1</v>
      </c>
      <c r="H4" s="2">
        <f>F4*G4</f>
        <v/>
      </c>
      <c r="I4" s="11">
        <f>SUM(J4:S4)</f>
        <v/>
      </c>
      <c r="J4" s="11">
        <f>IF(1&lt;=$F4,ROUND($D4*$E4^(1-1),0),"")</f>
        <v/>
      </c>
      <c r="K4" s="11">
        <f>IF(2&lt;=$F4,ROUND($D4*$E4^(2-1),0),"")</f>
        <v/>
      </c>
      <c r="L4" s="11">
        <f>IF(3&lt;=$F4,ROUND($D4*$E4^(3-1),0),"")</f>
        <v/>
      </c>
      <c r="M4" s="11">
        <f>IF(4&lt;=$F4,ROUND($D4*$E4^(4-1),0),"")</f>
        <v/>
      </c>
      <c r="N4" s="11">
        <f>IF(5&lt;=$F4,ROUND($D4*$E4^(5-1),0),"")</f>
        <v/>
      </c>
      <c r="O4" s="11">
        <f>IF(6&lt;=$F4,ROUND($D4*$E4^(6-1),0),"")</f>
        <v/>
      </c>
      <c r="P4" s="11">
        <f>IF(7&lt;=$F4,ROUND($D4*$E4^(7-1),0),"")</f>
        <v/>
      </c>
      <c r="Q4" s="11">
        <f>IF(8&lt;=$F4,ROUND($D4*$E4^(8-1),0),"")</f>
        <v/>
      </c>
      <c r="R4" s="11">
        <f>IF(9&lt;=$F4,ROUND($D4*$E4^(9-1),0),"")</f>
        <v/>
      </c>
      <c r="S4" s="11">
        <f>IF(10&lt;=$F4,ROUND($D4*$E4^(10-1),0),"")</f>
        <v/>
      </c>
    </row>
    <row r="5">
      <c r="A5" s="2" t="inlineStr">
        <is>
          <t>quartos</t>
        </is>
      </c>
      <c r="B5" s="2" t="inlineStr">
        <is>
          <t>Quartos</t>
        </is>
      </c>
      <c r="C5" s="2" t="inlineStr">
        <is>
          <t>+vaga na crew</t>
        </is>
      </c>
      <c r="D5" s="9" t="n">
        <v>200</v>
      </c>
      <c r="E5" s="10" t="n">
        <v>2.2</v>
      </c>
      <c r="F5" s="6" t="n">
        <v>5</v>
      </c>
      <c r="G5" s="6" t="n">
        <v>1</v>
      </c>
      <c r="H5" s="2">
        <f>F5*G5</f>
        <v/>
      </c>
      <c r="I5" s="11">
        <f>SUM(J5:S5)</f>
        <v/>
      </c>
      <c r="J5" s="11">
        <f>IF(1&lt;=$F5,ROUND($D5*$E5^(1-1),0),"")</f>
        <v/>
      </c>
      <c r="K5" s="11">
        <f>IF(2&lt;=$F5,ROUND($D5*$E5^(2-1),0),"")</f>
        <v/>
      </c>
      <c r="L5" s="11">
        <f>IF(3&lt;=$F5,ROUND($D5*$E5^(3-1),0),"")</f>
        <v/>
      </c>
      <c r="M5" s="11">
        <f>IF(4&lt;=$F5,ROUND($D5*$E5^(4-1),0),"")</f>
        <v/>
      </c>
      <c r="N5" s="11">
        <f>IF(5&lt;=$F5,ROUND($D5*$E5^(5-1),0),"")</f>
        <v/>
      </c>
      <c r="O5" s="11">
        <f>IF(6&lt;=$F5,ROUND($D5*$E5^(6-1),0),"")</f>
        <v/>
      </c>
      <c r="P5" s="11">
        <f>IF(7&lt;=$F5,ROUND($D5*$E5^(7-1),0),"")</f>
        <v/>
      </c>
      <c r="Q5" s="11">
        <f>IF(8&lt;=$F5,ROUND($D5*$E5^(8-1),0),"")</f>
        <v/>
      </c>
      <c r="R5" s="11">
        <f>IF(9&lt;=$F5,ROUND($D5*$E5^(9-1),0),"")</f>
        <v/>
      </c>
      <c r="S5" s="11">
        <f>IF(10&lt;=$F5,ROUND($D5*$E5^(10-1),0),"")</f>
        <v/>
      </c>
    </row>
    <row r="6">
      <c r="A6" s="2" t="inlineStr">
        <is>
          <t>ferramentas</t>
        </is>
      </c>
      <c r="B6" s="2" t="inlineStr">
        <is>
          <t>Ferramentas</t>
        </is>
      </c>
      <c r="C6" s="2" t="inlineStr">
        <is>
          <t>+% Perícia</t>
        </is>
      </c>
      <c r="D6" s="9" t="n">
        <v>150</v>
      </c>
      <c r="E6" s="10" t="n">
        <v>1.6</v>
      </c>
      <c r="F6" s="6" t="n">
        <v>10</v>
      </c>
      <c r="G6" s="6" t="n">
        <v>5</v>
      </c>
      <c r="H6" s="2">
        <f>F6*G6</f>
        <v/>
      </c>
      <c r="I6" s="11">
        <f>SUM(J6:S6)</f>
        <v/>
      </c>
      <c r="J6" s="11">
        <f>IF(1&lt;=$F6,ROUND($D6*$E6^(1-1),0),"")</f>
        <v/>
      </c>
      <c r="K6" s="11">
        <f>IF(2&lt;=$F6,ROUND($D6*$E6^(2-1),0),"")</f>
        <v/>
      </c>
      <c r="L6" s="11">
        <f>IF(3&lt;=$F6,ROUND($D6*$E6^(3-1),0),"")</f>
        <v/>
      </c>
      <c r="M6" s="11">
        <f>IF(4&lt;=$F6,ROUND($D6*$E6^(4-1),0),"")</f>
        <v/>
      </c>
      <c r="N6" s="11">
        <f>IF(5&lt;=$F6,ROUND($D6*$E6^(5-1),0),"")</f>
        <v/>
      </c>
      <c r="O6" s="11">
        <f>IF(6&lt;=$F6,ROUND($D6*$E6^(6-1),0),"")</f>
        <v/>
      </c>
      <c r="P6" s="11">
        <f>IF(7&lt;=$F6,ROUND($D6*$E6^(7-1),0),"")</f>
        <v/>
      </c>
      <c r="Q6" s="11">
        <f>IF(8&lt;=$F6,ROUND($D6*$E6^(8-1),0),"")</f>
        <v/>
      </c>
      <c r="R6" s="11">
        <f>IF(9&lt;=$F6,ROUND($D6*$E6^(9-1),0),"")</f>
        <v/>
      </c>
      <c r="S6" s="11">
        <f>IF(10&lt;=$F6,ROUND($D6*$E6^(10-1),0),"")</f>
        <v/>
      </c>
    </row>
    <row r="7">
      <c r="A7" s="2" t="inlineStr">
        <is>
          <t>tenis-de-molinha</t>
        </is>
      </c>
      <c r="B7" s="2" t="inlineStr">
        <is>
          <t>Tênis de molinha</t>
        </is>
      </c>
      <c r="C7" s="2" t="inlineStr">
        <is>
          <t>+% Discrição</t>
        </is>
      </c>
      <c r="D7" s="9" t="n">
        <v>150</v>
      </c>
      <c r="E7" s="10" t="n">
        <v>1.6</v>
      </c>
      <c r="F7" s="6" t="n">
        <v>10</v>
      </c>
      <c r="G7" s="6" t="n">
        <v>5</v>
      </c>
      <c r="H7" s="2">
        <f>F7*G7</f>
        <v/>
      </c>
      <c r="I7" s="11">
        <f>SUM(J7:S7)</f>
        <v/>
      </c>
      <c r="J7" s="11">
        <f>IF(1&lt;=$F7,ROUND($D7*$E7^(1-1),0),"")</f>
        <v/>
      </c>
      <c r="K7" s="11">
        <f>IF(2&lt;=$F7,ROUND($D7*$E7^(2-1),0),"")</f>
        <v/>
      </c>
      <c r="L7" s="11">
        <f>IF(3&lt;=$F7,ROUND($D7*$E7^(3-1),0),"")</f>
        <v/>
      </c>
      <c r="M7" s="11">
        <f>IF(4&lt;=$F7,ROUND($D7*$E7^(4-1),0),"")</f>
        <v/>
      </c>
      <c r="N7" s="11">
        <f>IF(5&lt;=$F7,ROUND($D7*$E7^(5-1),0),"")</f>
        <v/>
      </c>
      <c r="O7" s="11">
        <f>IF(6&lt;=$F7,ROUND($D7*$E7^(6-1),0),"")</f>
        <v/>
      </c>
      <c r="P7" s="11">
        <f>IF(7&lt;=$F7,ROUND($D7*$E7^(7-1),0),"")</f>
        <v/>
      </c>
      <c r="Q7" s="11">
        <f>IF(8&lt;=$F7,ROUND($D7*$E7^(8-1),0),"")</f>
        <v/>
      </c>
      <c r="R7" s="11">
        <f>IF(9&lt;=$F7,ROUND($D7*$E7^(9-1),0),"")</f>
        <v/>
      </c>
      <c r="S7" s="11">
        <f>IF(10&lt;=$F7,ROUND($D7*$E7^(10-1),0),"")</f>
        <v/>
      </c>
    </row>
    <row r="8">
      <c r="A8" s="2" t="inlineStr">
        <is>
          <t>advogado</t>
        </is>
      </c>
      <c r="B8" s="2" t="inlineStr">
        <is>
          <t>Advogado de porta de cadeia</t>
        </is>
      </c>
      <c r="C8" s="2" t="inlineStr">
        <is>
          <t>−% prisão e fiança</t>
        </is>
      </c>
      <c r="D8" s="9" t="n">
        <v>250</v>
      </c>
      <c r="E8" s="10" t="n">
        <v>1.8</v>
      </c>
      <c r="F8" s="6" t="n">
        <v>5</v>
      </c>
      <c r="G8" s="6" t="n">
        <v>10</v>
      </c>
      <c r="H8" s="2">
        <f>F8*G8</f>
        <v/>
      </c>
      <c r="I8" s="11">
        <f>SUM(J8:S8)</f>
        <v/>
      </c>
      <c r="J8" s="11">
        <f>IF(1&lt;=$F8,ROUND($D8*$E8^(1-1),0),"")</f>
        <v/>
      </c>
      <c r="K8" s="11">
        <f>IF(2&lt;=$F8,ROUND($D8*$E8^(2-1),0),"")</f>
        <v/>
      </c>
      <c r="L8" s="11">
        <f>IF(3&lt;=$F8,ROUND($D8*$E8^(3-1),0),"")</f>
        <v/>
      </c>
      <c r="M8" s="11">
        <f>IF(4&lt;=$F8,ROUND($D8*$E8^(4-1),0),"")</f>
        <v/>
      </c>
      <c r="N8" s="11">
        <f>IF(5&lt;=$F8,ROUND($D8*$E8^(5-1),0),"")</f>
        <v/>
      </c>
      <c r="O8" s="11">
        <f>IF(6&lt;=$F8,ROUND($D8*$E8^(6-1),0),"")</f>
        <v/>
      </c>
      <c r="P8" s="11">
        <f>IF(7&lt;=$F8,ROUND($D8*$E8^(7-1),0),"")</f>
        <v/>
      </c>
      <c r="Q8" s="11">
        <f>IF(8&lt;=$F8,ROUND($D8*$E8^(8-1),0),"")</f>
        <v/>
      </c>
      <c r="R8" s="11">
        <f>IF(9&lt;=$F8,ROUND($D8*$E8^(9-1),0),"")</f>
        <v/>
      </c>
      <c r="S8" s="11">
        <f>IF(10&lt;=$F8,ROUND($D8*$E8^(10-1),0),"")</f>
        <v/>
      </c>
    </row>
    <row r="9">
      <c r="A9" s="2" t="inlineStr">
        <is>
          <t>contatos</t>
        </is>
      </c>
      <c r="B9" s="2" t="inlineStr">
        <is>
          <t>Contatos</t>
        </is>
      </c>
      <c r="C9" s="2" t="inlineStr">
        <is>
          <t>+nível dos recrutas</t>
        </is>
      </c>
      <c r="D9" s="9" t="n">
        <v>400</v>
      </c>
      <c r="E9" s="10" t="n">
        <v>2</v>
      </c>
      <c r="F9" s="6" t="n">
        <v>5</v>
      </c>
      <c r="G9" s="6" t="n">
        <v>1</v>
      </c>
      <c r="H9" s="2">
        <f>F9*G9</f>
        <v/>
      </c>
      <c r="I9" s="11">
        <f>SUM(J9:S9)</f>
        <v/>
      </c>
      <c r="J9" s="11">
        <f>IF(1&lt;=$F9,ROUND($D9*$E9^(1-1),0),"")</f>
        <v/>
      </c>
      <c r="K9" s="11">
        <f>IF(2&lt;=$F9,ROUND($D9*$E9^(2-1),0),"")</f>
        <v/>
      </c>
      <c r="L9" s="11">
        <f>IF(3&lt;=$F9,ROUND($D9*$E9^(3-1),0),"")</f>
        <v/>
      </c>
      <c r="M9" s="11">
        <f>IF(4&lt;=$F9,ROUND($D9*$E9^(4-1),0),"")</f>
        <v/>
      </c>
      <c r="N9" s="11">
        <f>IF(5&lt;=$F9,ROUND($D9*$E9^(5-1),0),"")</f>
        <v/>
      </c>
      <c r="O9" s="11">
        <f>IF(6&lt;=$F9,ROUND($D9*$E9^(6-1),0),"")</f>
        <v/>
      </c>
      <c r="P9" s="11">
        <f>IF(7&lt;=$F9,ROUND($D9*$E9^(7-1),0),"")</f>
        <v/>
      </c>
      <c r="Q9" s="11">
        <f>IF(8&lt;=$F9,ROUND($D9*$E9^(8-1),0),"")</f>
        <v/>
      </c>
      <c r="R9" s="11">
        <f>IF(9&lt;=$F9,ROUND($D9*$E9^(9-1),0),"")</f>
        <v/>
      </c>
      <c r="S9" s="11">
        <f>IF(10&lt;=$F9,ROUND($D9*$E9^(10-1),0),"")</f>
        <v/>
      </c>
    </row>
    <row r="10">
      <c r="A10" s="2" t="inlineStr">
        <is>
          <t>lavanderia</t>
        </is>
      </c>
      <c r="B10" s="2" t="inlineStr">
        <is>
          <t>Lavanderia</t>
        </is>
      </c>
      <c r="C10" s="2" t="inlineStr">
        <is>
          <t>+% loot</t>
        </is>
      </c>
      <c r="D10" s="9" t="n">
        <v>500</v>
      </c>
      <c r="E10" s="10" t="n">
        <v>1.7</v>
      </c>
      <c r="F10" s="6" t="n">
        <v>10</v>
      </c>
      <c r="G10" s="6" t="n">
        <v>5</v>
      </c>
      <c r="H10" s="2">
        <f>F10*G10</f>
        <v/>
      </c>
      <c r="I10" s="11">
        <f>SUM(J10:S10)</f>
        <v/>
      </c>
      <c r="J10" s="11">
        <f>IF(1&lt;=$F10,ROUND($D10*$E10^(1-1),0),"")</f>
        <v/>
      </c>
      <c r="K10" s="11">
        <f>IF(2&lt;=$F10,ROUND($D10*$E10^(2-1),0),"")</f>
        <v/>
      </c>
      <c r="L10" s="11">
        <f>IF(3&lt;=$F10,ROUND($D10*$E10^(3-1),0),"")</f>
        <v/>
      </c>
      <c r="M10" s="11">
        <f>IF(4&lt;=$F10,ROUND($D10*$E10^(4-1),0),"")</f>
        <v/>
      </c>
      <c r="N10" s="11">
        <f>IF(5&lt;=$F10,ROUND($D10*$E10^(5-1),0),"")</f>
        <v/>
      </c>
      <c r="O10" s="11">
        <f>IF(6&lt;=$F10,ROUND($D10*$E10^(6-1),0),"")</f>
        <v/>
      </c>
      <c r="P10" s="11">
        <f>IF(7&lt;=$F10,ROUND($D10*$E10^(7-1),0),"")</f>
        <v/>
      </c>
      <c r="Q10" s="11">
        <f>IF(8&lt;=$F10,ROUND($D10*$E10^(8-1),0),"")</f>
        <v/>
      </c>
      <c r="R10" s="11">
        <f>IF(9&lt;=$F10,ROUND($D10*$E10^(9-1),0),"")</f>
        <v/>
      </c>
      <c r="S10" s="11">
        <f>IF(10&lt;=$F10,ROUND($D10*$E10^(10-1),0),"")</f>
        <v/>
      </c>
    </row>
    <row r="11">
      <c r="A11" s="2" t="inlineStr">
        <is>
          <t>radio-da-policia</t>
        </is>
      </c>
      <c r="B11" s="2" t="inlineStr">
        <is>
          <t>Rádio da polícia</t>
        </is>
      </c>
      <c r="C11" s="2" t="inlineStr">
        <is>
          <t>+s na contagem</t>
        </is>
      </c>
      <c r="D11" s="9" t="n">
        <v>350</v>
      </c>
      <c r="E11" s="10" t="n">
        <v>1.8</v>
      </c>
      <c r="F11" s="6" t="n">
        <v>5</v>
      </c>
      <c r="G11" s="6" t="n">
        <v>2</v>
      </c>
      <c r="H11" s="2">
        <f>F11*G11</f>
        <v/>
      </c>
      <c r="I11" s="11">
        <f>SUM(J11:S11)</f>
        <v/>
      </c>
      <c r="J11" s="11">
        <f>IF(1&lt;=$F11,ROUND($D11*$E11^(1-1),0),"")</f>
        <v/>
      </c>
      <c r="K11" s="11">
        <f>IF(2&lt;=$F11,ROUND($D11*$E11^(2-1),0),"")</f>
        <v/>
      </c>
      <c r="L11" s="11">
        <f>IF(3&lt;=$F11,ROUND($D11*$E11^(3-1),0),"")</f>
        <v/>
      </c>
      <c r="M11" s="11">
        <f>IF(4&lt;=$F11,ROUND($D11*$E11^(4-1),0),"")</f>
        <v/>
      </c>
      <c r="N11" s="11">
        <f>IF(5&lt;=$F11,ROUND($D11*$E11^(5-1),0),"")</f>
        <v/>
      </c>
      <c r="O11" s="11">
        <f>IF(6&lt;=$F11,ROUND($D11*$E11^(6-1),0),"")</f>
        <v/>
      </c>
      <c r="P11" s="11">
        <f>IF(7&lt;=$F11,ROUND($D11*$E11^(7-1),0),"")</f>
        <v/>
      </c>
      <c r="Q11" s="11">
        <f>IF(8&lt;=$F11,ROUND($D11*$E11^(8-1),0),"")</f>
        <v/>
      </c>
      <c r="R11" s="11">
        <f>IF(9&lt;=$F11,ROUND($D11*$E11^(9-1),0),"")</f>
        <v/>
      </c>
      <c r="S11" s="11">
        <f>IF(10&lt;=$F11,ROUND($D11*$E11^(10-1),0),"")</f>
        <v/>
      </c>
    </row>
    <row r="12">
      <c r="A12" s="2" t="inlineStr">
        <is>
          <t>ponto-de-bico</t>
        </is>
      </c>
      <c r="B12" s="2" t="inlineStr">
        <is>
          <t>Ponto de bico</t>
        </is>
      </c>
      <c r="C12" s="2" t="inlineStr">
        <is>
          <t>+% renda dos bicos</t>
        </is>
      </c>
      <c r="D12" s="9" t="n">
        <v>100</v>
      </c>
      <c r="E12" s="10" t="n">
        <v>1.6</v>
      </c>
      <c r="F12" s="6" t="n">
        <v>10</v>
      </c>
      <c r="G12" s="6" t="n">
        <v>10</v>
      </c>
      <c r="H12" s="2">
        <f>F12*G12</f>
        <v/>
      </c>
      <c r="I12" s="11">
        <f>SUM(J12:S12)</f>
        <v/>
      </c>
      <c r="J12" s="11">
        <f>IF(1&lt;=$F12,ROUND($D12*$E12^(1-1),0),"")</f>
        <v/>
      </c>
      <c r="K12" s="11">
        <f>IF(2&lt;=$F12,ROUND($D12*$E12^(2-1),0),"")</f>
        <v/>
      </c>
      <c r="L12" s="11">
        <f>IF(3&lt;=$F12,ROUND($D12*$E12^(3-1),0),"")</f>
        <v/>
      </c>
      <c r="M12" s="11">
        <f>IF(4&lt;=$F12,ROUND($D12*$E12^(4-1),0),"")</f>
        <v/>
      </c>
      <c r="N12" s="11">
        <f>IF(5&lt;=$F12,ROUND($D12*$E12^(5-1),0),"")</f>
        <v/>
      </c>
      <c r="O12" s="11">
        <f>IF(6&lt;=$F12,ROUND($D12*$E12^(6-1),0),"")</f>
        <v/>
      </c>
      <c r="P12" s="11">
        <f>IF(7&lt;=$F12,ROUND($D12*$E12^(7-1),0),"")</f>
        <v/>
      </c>
      <c r="Q12" s="11">
        <f>IF(8&lt;=$F12,ROUND($D12*$E12^(8-1),0),"")</f>
        <v/>
      </c>
      <c r="R12" s="11">
        <f>IF(9&lt;=$F12,ROUND($D12*$E12^(9-1),0),"")</f>
        <v/>
      </c>
      <c r="S12" s="11">
        <f>IF(10&lt;=$F12,ROUND($D12*$E12^(10-1),0),"")</f>
        <v/>
      </c>
    </row>
    <row r="14">
      <c r="A14" s="4" t="inlineStr">
        <is>
          <t>Custo do nível n = o que se paga pra subir do nível n−1 pro n (Formulas.UpgradeCost).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24" customWidth="1" min="3" max="3"/>
    <col width="12" customWidth="1" min="4" max="4"/>
    <col width="12" customWidth="1" min="5" max="5"/>
    <col width="13" customWidth="1" min="6" max="6"/>
    <col width="10" customWidth="1" min="7" max="7"/>
    <col width="10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Golpes sala a sala, no cenário da aba Config (crew com especialista em toda sala)</t>
        </is>
      </c>
    </row>
    <row r="2">
      <c r="A2" s="2" t="inlineStr">
        <is>
          <t>Poder do especialista:</t>
        </is>
      </c>
      <c r="C2" s="12">
        <f>(((INDEX(Ladrões!$B$12:$K$12,1,Config!$B$26)+INDEX(Ladrões!$B$13:$K$13,1,Config!$B$26)+INDEX(Ladrões!$B$14:$K$14,1,Config!$B$26))/3)*(1+Config!$B$27*Upgrades!$G$6/100))</f>
        <v/>
      </c>
      <c r="E2" s="4" t="inlineStr">
        <is>
          <t>Tempo = dificuldade ÷ poder · Alerta/s real = alerta da sala × (1 − fator × Discrição/100) · sirene em 100.</t>
        </is>
      </c>
    </row>
    <row r="3">
      <c r="A3" s="2" t="inlineStr">
        <is>
          <t>Discrição média:</t>
        </is>
      </c>
      <c r="C3" s="12">
        <f>(((INDEX(Ladrões!$B$19:$K$19,1,Config!$B$26)+INDEX(Ladrões!$B$20:$K$20,1,Config!$B$26)+INDEX(Ladrões!$B$21:$K$21,1,Config!$B$26))/3)*(1+Config!$B$28*Upgrades!$G$7/100))</f>
        <v/>
      </c>
    </row>
    <row r="5">
      <c r="A5" s="5" t="inlineStr">
        <is>
          <t>Golpe</t>
        </is>
      </c>
      <c r="B5" s="5" t="inlineStr">
        <is>
          <t>#</t>
        </is>
      </c>
      <c r="C5" s="5" t="inlineStr">
        <is>
          <t>Sala</t>
        </is>
      </c>
      <c r="D5" s="5" t="inlineStr">
        <is>
          <t>Obstáculo</t>
        </is>
      </c>
      <c r="E5" s="5" t="inlineStr">
        <is>
          <t>Dificuldade</t>
        </is>
      </c>
      <c r="F5" s="5" t="inlineStr">
        <is>
          <t>Loot</t>
        </is>
      </c>
      <c r="G5" s="5" t="inlineStr">
        <is>
          <t>Alerta/s</t>
        </is>
      </c>
      <c r="H5" s="5" t="inlineStr">
        <is>
          <t>Tempo</t>
        </is>
      </c>
      <c r="I5" s="5" t="inlineStr">
        <is>
          <t>Alerta da sala</t>
        </is>
      </c>
      <c r="J5" s="5" t="inlineStr">
        <is>
          <t>Alerta acumulado</t>
        </is>
      </c>
      <c r="K5" s="5" t="inlineStr">
        <is>
          <t>Loot acumulado</t>
        </is>
      </c>
    </row>
    <row r="6">
      <c r="A6" s="2" t="inlineStr">
        <is>
          <t>Lotérica do Seu Zé</t>
        </is>
      </c>
      <c r="B6" s="2" t="n">
        <v>1</v>
      </c>
      <c r="C6" s="2" t="inlineStr">
        <is>
          <t>Entrada</t>
        </is>
      </c>
      <c r="D6" s="2" t="inlineStr">
        <is>
          <t>Pessoa</t>
        </is>
      </c>
      <c r="E6" s="13" t="n">
        <v>250</v>
      </c>
      <c r="F6" s="9" t="n">
        <v>50</v>
      </c>
      <c r="G6" s="10" t="n">
        <v>1.5</v>
      </c>
      <c r="H6" s="14">
        <f>MAX(0.5,E6/MAX(1,$C$2))</f>
        <v/>
      </c>
      <c r="I6" s="15">
        <f>G6*(1-Config!$B$7*MIN(1,$C$3/100))*H6</f>
        <v/>
      </c>
      <c r="J6" s="15">
        <f>SUMIFS($I$6:$I$30,$A$6:$A$30,A6,$B$6:$B$30,"&lt;="&amp;B6)</f>
        <v/>
      </c>
      <c r="K6" s="11">
        <f>SUMIFS($F$6:$F$30,$A$6:$A$30,A6,$B$6:$B$30,"&lt;="&amp;B6)</f>
        <v/>
      </c>
    </row>
    <row r="7">
      <c r="A7" s="2" t="inlineStr">
        <is>
          <t>Lotérica do Seu Zé</t>
        </is>
      </c>
      <c r="B7" s="2" t="n">
        <v>2</v>
      </c>
      <c r="C7" s="2" t="inlineStr">
        <is>
          <t>Balcão</t>
        </is>
      </c>
      <c r="D7" s="2" t="inlineStr">
        <is>
          <t>Pessoa</t>
        </is>
      </c>
      <c r="E7" s="13" t="n">
        <v>300</v>
      </c>
      <c r="F7" s="9" t="n">
        <v>150</v>
      </c>
      <c r="G7" s="10" t="n">
        <v>2</v>
      </c>
      <c r="H7" s="14">
        <f>MAX(0.5,E7/MAX(1,$C$2))</f>
        <v/>
      </c>
      <c r="I7" s="15">
        <f>G7*(1-Config!$B$7*MIN(1,$C$3/100))*H7</f>
        <v/>
      </c>
      <c r="J7" s="15">
        <f>SUMIFS($I$6:$I$30,$A$6:$A$30,A7,$B$6:$B$30,"&lt;="&amp;B7)</f>
        <v/>
      </c>
      <c r="K7" s="11">
        <f>SUMIFS($F$6:$F$30,$A$6:$A$30,A7,$B$6:$B$30,"&lt;="&amp;B7)</f>
        <v/>
      </c>
    </row>
    <row r="8">
      <c r="A8" s="2" t="inlineStr">
        <is>
          <t>Lotérica do Seu Zé</t>
        </is>
      </c>
      <c r="B8" s="2" t="n">
        <v>3</v>
      </c>
      <c r="C8" s="2" t="inlineStr">
        <is>
          <t>Cofrinho</t>
        </is>
      </c>
      <c r="D8" s="2" t="inlineStr">
        <is>
          <t>Fechadura</t>
        </is>
      </c>
      <c r="E8" s="13" t="n">
        <v>350</v>
      </c>
      <c r="F8" s="9" t="n">
        <v>300</v>
      </c>
      <c r="G8" s="10" t="n">
        <v>2.5</v>
      </c>
      <c r="H8" s="14">
        <f>MAX(0.5,E8/MAX(1,$C$2))</f>
        <v/>
      </c>
      <c r="I8" s="15">
        <f>G8*(1-Config!$B$7*MIN(1,$C$3/100))*H8</f>
        <v/>
      </c>
      <c r="J8" s="15">
        <f>SUMIFS($I$6:$I$30,$A$6:$A$30,A8,$B$6:$B$30,"&lt;="&amp;B8)</f>
        <v/>
      </c>
      <c r="K8" s="11">
        <f>SUMIFS($F$6:$F$30,$A$6:$A$30,A8,$B$6:$B$30,"&lt;="&amp;B8)</f>
        <v/>
      </c>
    </row>
    <row r="9">
      <c r="A9" s="2" t="inlineStr">
        <is>
          <t>Joalheria Brilho Eterno</t>
        </is>
      </c>
      <c r="B9" s="2" t="n">
        <v>1</v>
      </c>
      <c r="C9" s="2" t="inlineStr">
        <is>
          <t>Vitrine</t>
        </is>
      </c>
      <c r="D9" s="2" t="inlineStr">
        <is>
          <t>Pessoa</t>
        </is>
      </c>
      <c r="E9" s="13" t="n">
        <v>720</v>
      </c>
      <c r="F9" s="9" t="n">
        <v>300</v>
      </c>
      <c r="G9" s="10" t="n">
        <v>2</v>
      </c>
      <c r="H9" s="14">
        <f>MAX(0.5,E9/MAX(1,$C$2))</f>
        <v/>
      </c>
      <c r="I9" s="15">
        <f>G9*(1-Config!$B$7*MIN(1,$C$3/100))*H9</f>
        <v/>
      </c>
      <c r="J9" s="15">
        <f>SUMIFS($I$6:$I$30,$A$6:$A$30,A9,$B$6:$B$30,"&lt;="&amp;B9)</f>
        <v/>
      </c>
      <c r="K9" s="11">
        <f>SUMIFS($F$6:$F$30,$A$6:$A$30,A9,$B$6:$B$30,"&lt;="&amp;B9)</f>
        <v/>
      </c>
    </row>
    <row r="10">
      <c r="A10" s="2" t="inlineStr">
        <is>
          <t>Joalheria Brilho Eterno</t>
        </is>
      </c>
      <c r="B10" s="2" t="n">
        <v>2</v>
      </c>
      <c r="C10" s="2" t="inlineStr">
        <is>
          <t>Sala de Câmeras</t>
        </is>
      </c>
      <c r="D10" s="2" t="inlineStr">
        <is>
          <t>Sistema</t>
        </is>
      </c>
      <c r="E10" s="13" t="n">
        <v>880</v>
      </c>
      <c r="F10" s="9" t="n">
        <v>400</v>
      </c>
      <c r="G10" s="10" t="n">
        <v>3</v>
      </c>
      <c r="H10" s="14">
        <f>MAX(0.5,E10/MAX(1,$C$2))</f>
        <v/>
      </c>
      <c r="I10" s="15">
        <f>G10*(1-Config!$B$7*MIN(1,$C$3/100))*H10</f>
        <v/>
      </c>
      <c r="J10" s="15">
        <f>SUMIFS($I$6:$I$30,$A$6:$A$30,A10,$B$6:$B$30,"&lt;="&amp;B10)</f>
        <v/>
      </c>
      <c r="K10" s="11">
        <f>SUMIFS($F$6:$F$30,$A$6:$A$30,A10,$B$6:$B$30,"&lt;="&amp;B10)</f>
        <v/>
      </c>
    </row>
    <row r="11">
      <c r="A11" s="2" t="inlineStr">
        <is>
          <t>Joalheria Brilho Eterno</t>
        </is>
      </c>
      <c r="B11" s="2" t="n">
        <v>3</v>
      </c>
      <c r="C11" s="2" t="inlineStr">
        <is>
          <t>Escritório</t>
        </is>
      </c>
      <c r="D11" s="2" t="inlineStr">
        <is>
          <t>Fechadura</t>
        </is>
      </c>
      <c r="E11" s="13" t="n">
        <v>960</v>
      </c>
      <c r="F11" s="9" t="n">
        <v>800</v>
      </c>
      <c r="G11" s="10" t="n">
        <v>3</v>
      </c>
      <c r="H11" s="14">
        <f>MAX(0.5,E11/MAX(1,$C$2))</f>
        <v/>
      </c>
      <c r="I11" s="15">
        <f>G11*(1-Config!$B$7*MIN(1,$C$3/100))*H11</f>
        <v/>
      </c>
      <c r="J11" s="15">
        <f>SUMIFS($I$6:$I$30,$A$6:$A$30,A11,$B$6:$B$30,"&lt;="&amp;B11)</f>
        <v/>
      </c>
      <c r="K11" s="11">
        <f>SUMIFS($F$6:$F$30,$A$6:$A$30,A11,$B$6:$B$30,"&lt;="&amp;B11)</f>
        <v/>
      </c>
    </row>
    <row r="12">
      <c r="A12" s="2" t="inlineStr">
        <is>
          <t>Joalheria Brilho Eterno</t>
        </is>
      </c>
      <c r="B12" s="2" t="n">
        <v>4</v>
      </c>
      <c r="C12" s="2" t="inlineStr">
        <is>
          <t>Cofre</t>
        </is>
      </c>
      <c r="D12" s="2" t="inlineStr">
        <is>
          <t>Sistema</t>
        </is>
      </c>
      <c r="E12" s="13" t="n">
        <v>1120</v>
      </c>
      <c r="F12" s="9" t="n">
        <v>1500</v>
      </c>
      <c r="G12" s="10" t="n">
        <v>4</v>
      </c>
      <c r="H12" s="14">
        <f>MAX(0.5,E12/MAX(1,$C$2))</f>
        <v/>
      </c>
      <c r="I12" s="15">
        <f>G12*(1-Config!$B$7*MIN(1,$C$3/100))*H12</f>
        <v/>
      </c>
      <c r="J12" s="15">
        <f>SUMIFS($I$6:$I$30,$A$6:$A$30,A12,$B$6:$B$30,"&lt;="&amp;B12)</f>
        <v/>
      </c>
      <c r="K12" s="11">
        <f>SUMIFS($F$6:$F$30,$A$6:$A$30,A12,$B$6:$B$30,"&lt;="&amp;B12)</f>
        <v/>
      </c>
    </row>
    <row r="13">
      <c r="A13" s="2" t="inlineStr">
        <is>
          <t>Casa de Câmbio Dólar Fácil</t>
        </is>
      </c>
      <c r="B13" s="2" t="n">
        <v>1</v>
      </c>
      <c r="C13" s="2" t="inlineStr">
        <is>
          <t>Fachada</t>
        </is>
      </c>
      <c r="D13" s="2" t="inlineStr">
        <is>
          <t>Fechadura</t>
        </is>
      </c>
      <c r="E13" s="13" t="n">
        <v>1120</v>
      </c>
      <c r="F13" s="9" t="n">
        <v>1500</v>
      </c>
      <c r="G13" s="10" t="n">
        <v>3</v>
      </c>
      <c r="H13" s="14">
        <f>MAX(0.5,E13/MAX(1,$C$2))</f>
        <v/>
      </c>
      <c r="I13" s="15">
        <f>G13*(1-Config!$B$7*MIN(1,$C$3/100))*H13</f>
        <v/>
      </c>
      <c r="J13" s="15">
        <f>SUMIFS($I$6:$I$30,$A$6:$A$30,A13,$B$6:$B$30,"&lt;="&amp;B13)</f>
        <v/>
      </c>
      <c r="K13" s="11">
        <f>SUMIFS($F$6:$F$30,$A$6:$A$30,A13,$B$6:$B$30,"&lt;="&amp;B13)</f>
        <v/>
      </c>
    </row>
    <row r="14">
      <c r="A14" s="2" t="inlineStr">
        <is>
          <t>Casa de Câmbio Dólar Fácil</t>
        </is>
      </c>
      <c r="B14" s="2" t="n">
        <v>2</v>
      </c>
      <c r="C14" s="2" t="inlineStr">
        <is>
          <t>Balcão</t>
        </is>
      </c>
      <c r="D14" s="2" t="inlineStr">
        <is>
          <t>Pessoa</t>
        </is>
      </c>
      <c r="E14" s="13" t="n">
        <v>1260</v>
      </c>
      <c r="F14" s="9" t="n">
        <v>2500</v>
      </c>
      <c r="G14" s="10" t="n">
        <v>3.5</v>
      </c>
      <c r="H14" s="14">
        <f>MAX(0.5,E14/MAX(1,$C$2))</f>
        <v/>
      </c>
      <c r="I14" s="15">
        <f>G14*(1-Config!$B$7*MIN(1,$C$3/100))*H14</f>
        <v/>
      </c>
      <c r="J14" s="15">
        <f>SUMIFS($I$6:$I$30,$A$6:$A$30,A14,$B$6:$B$30,"&lt;="&amp;B14)</f>
        <v/>
      </c>
      <c r="K14" s="11">
        <f>SUMIFS($F$6:$F$30,$A$6:$A$30,A14,$B$6:$B$30,"&lt;="&amp;B14)</f>
        <v/>
      </c>
    </row>
    <row r="15">
      <c r="A15" s="2" t="inlineStr">
        <is>
          <t>Casa de Câmbio Dólar Fácil</t>
        </is>
      </c>
      <c r="B15" s="2" t="n">
        <v>3</v>
      </c>
      <c r="C15" s="2" t="inlineStr">
        <is>
          <t>Corredor</t>
        </is>
      </c>
      <c r="D15" s="2" t="inlineStr">
        <is>
          <t>Sistema</t>
        </is>
      </c>
      <c r="E15" s="13" t="n">
        <v>1330</v>
      </c>
      <c r="F15" s="9" t="n">
        <v>3000</v>
      </c>
      <c r="G15" s="10" t="n">
        <v>4</v>
      </c>
      <c r="H15" s="14">
        <f>MAX(0.5,E15/MAX(1,$C$2))</f>
        <v/>
      </c>
      <c r="I15" s="15">
        <f>G15*(1-Config!$B$7*MIN(1,$C$3/100))*H15</f>
        <v/>
      </c>
      <c r="J15" s="15">
        <f>SUMIFS($I$6:$I$30,$A$6:$A$30,A15,$B$6:$B$30,"&lt;="&amp;B15)</f>
        <v/>
      </c>
      <c r="K15" s="11">
        <f>SUMIFS($F$6:$F$30,$A$6:$A$30,A15,$B$6:$B$30,"&lt;="&amp;B15)</f>
        <v/>
      </c>
    </row>
    <row r="16">
      <c r="A16" s="2" t="inlineStr">
        <is>
          <t>Casa de Câmbio Dólar Fácil</t>
        </is>
      </c>
      <c r="B16" s="2" t="n">
        <v>4</v>
      </c>
      <c r="C16" s="2" t="inlineStr">
        <is>
          <t>Escritório do Gerente</t>
        </is>
      </c>
      <c r="D16" s="2" t="inlineStr">
        <is>
          <t>Pessoa</t>
        </is>
      </c>
      <c r="E16" s="13" t="n">
        <v>1470</v>
      </c>
      <c r="F16" s="9" t="n">
        <v>4000</v>
      </c>
      <c r="G16" s="10" t="n">
        <v>4</v>
      </c>
      <c r="H16" s="14">
        <f>MAX(0.5,E16/MAX(1,$C$2))</f>
        <v/>
      </c>
      <c r="I16" s="15">
        <f>G16*(1-Config!$B$7*MIN(1,$C$3/100))*H16</f>
        <v/>
      </c>
      <c r="J16" s="15">
        <f>SUMIFS($I$6:$I$30,$A$6:$A$30,A16,$B$6:$B$30,"&lt;="&amp;B16)</f>
        <v/>
      </c>
      <c r="K16" s="11">
        <f>SUMIFS($F$6:$F$30,$A$6:$A$30,A16,$B$6:$B$30,"&lt;="&amp;B16)</f>
        <v/>
      </c>
    </row>
    <row r="17">
      <c r="A17" s="2" t="inlineStr">
        <is>
          <t>Casa de Câmbio Dólar Fácil</t>
        </is>
      </c>
      <c r="B17" s="2" t="n">
        <v>5</v>
      </c>
      <c r="C17" s="2" t="inlineStr">
        <is>
          <t>Cofre</t>
        </is>
      </c>
      <c r="D17" s="2" t="inlineStr">
        <is>
          <t>Fechadura</t>
        </is>
      </c>
      <c r="E17" s="13" t="n">
        <v>1680</v>
      </c>
      <c r="F17" s="9" t="n">
        <v>7000</v>
      </c>
      <c r="G17" s="10" t="n">
        <v>5</v>
      </c>
      <c r="H17" s="14">
        <f>MAX(0.5,E17/MAX(1,$C$2))</f>
        <v/>
      </c>
      <c r="I17" s="15">
        <f>G17*(1-Config!$B$7*MIN(1,$C$3/100))*H17</f>
        <v/>
      </c>
      <c r="J17" s="15">
        <f>SUMIFS($I$6:$I$30,$A$6:$A$30,A17,$B$6:$B$30,"&lt;="&amp;B17)</f>
        <v/>
      </c>
      <c r="K17" s="11">
        <f>SUMIFS($F$6:$F$30,$A$6:$A$30,A17,$B$6:$B$30,"&lt;="&amp;B17)</f>
        <v/>
      </c>
    </row>
    <row r="18">
      <c r="A18" s="2" t="inlineStr">
        <is>
          <t>Cassino Clandestino</t>
        </is>
      </c>
      <c r="B18" s="2" t="n">
        <v>1</v>
      </c>
      <c r="C18" s="2" t="inlineStr">
        <is>
          <t>Pastelaria</t>
        </is>
      </c>
      <c r="D18" s="2" t="inlineStr">
        <is>
          <t>Pessoa</t>
        </is>
      </c>
      <c r="E18" s="13" t="n">
        <v>1260</v>
      </c>
      <c r="F18" s="9" t="n">
        <v>5000</v>
      </c>
      <c r="G18" s="10" t="n">
        <v>3.2</v>
      </c>
      <c r="H18" s="14">
        <f>MAX(0.5,E18/MAX(1,$C$2))</f>
        <v/>
      </c>
      <c r="I18" s="15">
        <f>G18*(1-Config!$B$7*MIN(1,$C$3/100))*H18</f>
        <v/>
      </c>
      <c r="J18" s="15">
        <f>SUMIFS($I$6:$I$30,$A$6:$A$30,A18,$B$6:$B$30,"&lt;="&amp;B18)</f>
        <v/>
      </c>
      <c r="K18" s="11">
        <f>SUMIFS($F$6:$F$30,$A$6:$A$30,A18,$B$6:$B$30,"&lt;="&amp;B18)</f>
        <v/>
      </c>
    </row>
    <row r="19">
      <c r="A19" s="2" t="inlineStr">
        <is>
          <t>Cassino Clandestino</t>
        </is>
      </c>
      <c r="B19" s="2" t="n">
        <v>2</v>
      </c>
      <c r="C19" s="2" t="inlineStr">
        <is>
          <t>Corredor</t>
        </is>
      </c>
      <c r="D19" s="2" t="inlineStr">
        <is>
          <t>Fechadura</t>
        </is>
      </c>
      <c r="E19" s="13" t="n">
        <v>1350</v>
      </c>
      <c r="F19" s="9" t="n">
        <v>8000</v>
      </c>
      <c r="G19" s="10" t="n">
        <v>3.6</v>
      </c>
      <c r="H19" s="14">
        <f>MAX(0.5,E19/MAX(1,$C$2))</f>
        <v/>
      </c>
      <c r="I19" s="15">
        <f>G19*(1-Config!$B$7*MIN(1,$C$3/100))*H19</f>
        <v/>
      </c>
      <c r="J19" s="15">
        <f>SUMIFS($I$6:$I$30,$A$6:$A$30,A19,$B$6:$B$30,"&lt;="&amp;B19)</f>
        <v/>
      </c>
      <c r="K19" s="11">
        <f>SUMIFS($F$6:$F$30,$A$6:$A$30,A19,$B$6:$B$30,"&lt;="&amp;B19)</f>
        <v/>
      </c>
    </row>
    <row r="20">
      <c r="A20" s="2" t="inlineStr">
        <is>
          <t>Cassino Clandestino</t>
        </is>
      </c>
      <c r="B20" s="2" t="n">
        <v>3</v>
      </c>
      <c r="C20" s="2" t="inlineStr">
        <is>
          <t>Salão de Jogos</t>
        </is>
      </c>
      <c r="D20" s="2" t="inlineStr">
        <is>
          <t>Pessoa</t>
        </is>
      </c>
      <c r="E20" s="13" t="n">
        <v>1530</v>
      </c>
      <c r="F20" s="9" t="n">
        <v>15000</v>
      </c>
      <c r="G20" s="10" t="n">
        <v>4</v>
      </c>
      <c r="H20" s="14">
        <f>MAX(0.5,E20/MAX(1,$C$2))</f>
        <v/>
      </c>
      <c r="I20" s="15">
        <f>G20*(1-Config!$B$7*MIN(1,$C$3/100))*H20</f>
        <v/>
      </c>
      <c r="J20" s="15">
        <f>SUMIFS($I$6:$I$30,$A$6:$A$30,A20,$B$6:$B$30,"&lt;="&amp;B20)</f>
        <v/>
      </c>
      <c r="K20" s="11">
        <f>SUMIFS($F$6:$F$30,$A$6:$A$30,A20,$B$6:$B$30,"&lt;="&amp;B20)</f>
        <v/>
      </c>
    </row>
    <row r="21">
      <c r="A21" s="2" t="inlineStr">
        <is>
          <t>Cassino Clandestino</t>
        </is>
      </c>
      <c r="B21" s="2" t="n">
        <v>4</v>
      </c>
      <c r="C21" s="2" t="inlineStr">
        <is>
          <t>Sala de Câmeras</t>
        </is>
      </c>
      <c r="D21" s="2" t="inlineStr">
        <is>
          <t>Sistema</t>
        </is>
      </c>
      <c r="E21" s="13" t="n">
        <v>1620</v>
      </c>
      <c r="F21" s="9" t="n">
        <v>17000</v>
      </c>
      <c r="G21" s="10" t="n">
        <v>4.4</v>
      </c>
      <c r="H21" s="14">
        <f>MAX(0.5,E21/MAX(1,$C$2))</f>
        <v/>
      </c>
      <c r="I21" s="15">
        <f>G21*(1-Config!$B$7*MIN(1,$C$3/100))*H21</f>
        <v/>
      </c>
      <c r="J21" s="15">
        <f>SUMIFS($I$6:$I$30,$A$6:$A$30,A21,$B$6:$B$30,"&lt;="&amp;B21)</f>
        <v/>
      </c>
      <c r="K21" s="11">
        <f>SUMIFS($F$6:$F$30,$A$6:$A$30,A21,$B$6:$B$30,"&lt;="&amp;B21)</f>
        <v/>
      </c>
    </row>
    <row r="22">
      <c r="A22" s="2" t="inlineStr">
        <is>
          <t>Cassino Clandestino</t>
        </is>
      </c>
      <c r="B22" s="2" t="n">
        <v>5</v>
      </c>
      <c r="C22" s="2" t="inlineStr">
        <is>
          <t>Escritório do Bicheiro</t>
        </is>
      </c>
      <c r="D22" s="2" t="inlineStr">
        <is>
          <t>Pessoa</t>
        </is>
      </c>
      <c r="E22" s="13" t="n">
        <v>1710</v>
      </c>
      <c r="F22" s="9" t="n">
        <v>25000</v>
      </c>
      <c r="G22" s="10" t="n">
        <v>4.4</v>
      </c>
      <c r="H22" s="14">
        <f>MAX(0.5,E22/MAX(1,$C$2))</f>
        <v/>
      </c>
      <c r="I22" s="15">
        <f>G22*(1-Config!$B$7*MIN(1,$C$3/100))*H22</f>
        <v/>
      </c>
      <c r="J22" s="15">
        <f>SUMIFS($I$6:$I$30,$A$6:$A$30,A22,$B$6:$B$30,"&lt;="&amp;B22)</f>
        <v/>
      </c>
      <c r="K22" s="11">
        <f>SUMIFS($F$6:$F$30,$A$6:$A$30,A22,$B$6:$B$30,"&lt;="&amp;B22)</f>
        <v/>
      </c>
    </row>
    <row r="23">
      <c r="A23" s="2" t="inlineStr">
        <is>
          <t>Cassino Clandestino</t>
        </is>
      </c>
      <c r="B23" s="2" t="n">
        <v>6</v>
      </c>
      <c r="C23" s="2" t="inlineStr">
        <is>
          <t>Cofre</t>
        </is>
      </c>
      <c r="D23" s="2" t="inlineStr">
        <is>
          <t>Fechadura</t>
        </is>
      </c>
      <c r="E23" s="13" t="n">
        <v>1890</v>
      </c>
      <c r="F23" s="9" t="n">
        <v>30000</v>
      </c>
      <c r="G23" s="10" t="n">
        <v>4.8</v>
      </c>
      <c r="H23" s="14">
        <f>MAX(0.5,E23/MAX(1,$C$2))</f>
        <v/>
      </c>
      <c r="I23" s="15">
        <f>G23*(1-Config!$B$7*MIN(1,$C$3/100))*H23</f>
        <v/>
      </c>
      <c r="J23" s="15">
        <f>SUMIFS($I$6:$I$30,$A$6:$A$30,A23,$B$6:$B$30,"&lt;="&amp;B23)</f>
        <v/>
      </c>
      <c r="K23" s="11">
        <f>SUMIFS($F$6:$F$30,$A$6:$A$30,A23,$B$6:$B$30,"&lt;="&amp;B23)</f>
        <v/>
      </c>
    </row>
    <row r="24">
      <c r="A24" s="2" t="inlineStr">
        <is>
          <t>Banco Central de Nova Guanabara</t>
        </is>
      </c>
      <c r="B24" s="2" t="n">
        <v>1</v>
      </c>
      <c r="C24" s="2" t="inlineStr">
        <is>
          <t>Túnel</t>
        </is>
      </c>
      <c r="D24" s="2" t="inlineStr">
        <is>
          <t>Fechadura</t>
        </is>
      </c>
      <c r="E24" s="13" t="n">
        <v>1380</v>
      </c>
      <c r="F24" s="9" t="n">
        <v>10000</v>
      </c>
      <c r="G24" s="10" t="n">
        <v>0.7</v>
      </c>
      <c r="H24" s="14">
        <f>MAX(0.5,E24/MAX(1,$C$2))</f>
        <v/>
      </c>
      <c r="I24" s="15">
        <f>G24*(1-Config!$B$7*MIN(1,$C$3/100))*H24</f>
        <v/>
      </c>
      <c r="J24" s="15">
        <f>SUMIFS($I$6:$I$30,$A$6:$A$30,A24,$B$6:$B$30,"&lt;="&amp;B24)</f>
        <v/>
      </c>
      <c r="K24" s="11">
        <f>SUMIFS($F$6:$F$30,$A$6:$A$30,A24,$B$6:$B$30,"&lt;="&amp;B24)</f>
        <v/>
      </c>
    </row>
    <row r="25">
      <c r="A25" s="2" t="inlineStr">
        <is>
          <t>Banco Central de Nova Guanabara</t>
        </is>
      </c>
      <c r="B25" s="2" t="n">
        <v>2</v>
      </c>
      <c r="C25" s="2" t="inlineStr">
        <is>
          <t>Túnel Fundo</t>
        </is>
      </c>
      <c r="D25" s="2" t="inlineStr">
        <is>
          <t>Sistema</t>
        </is>
      </c>
      <c r="E25" s="13" t="n">
        <v>1500</v>
      </c>
      <c r="F25" s="9" t="n">
        <v>20000</v>
      </c>
      <c r="G25" s="10" t="n">
        <v>1.05</v>
      </c>
      <c r="H25" s="14">
        <f>MAX(0.5,E25/MAX(1,$C$2))</f>
        <v/>
      </c>
      <c r="I25" s="15">
        <f>G25*(1-Config!$B$7*MIN(1,$C$3/100))*H25</f>
        <v/>
      </c>
      <c r="J25" s="15">
        <f>SUMIFS($I$6:$I$30,$A$6:$A$30,A25,$B$6:$B$30,"&lt;="&amp;B25)</f>
        <v/>
      </c>
      <c r="K25" s="11">
        <f>SUMIFS($F$6:$F$30,$A$6:$A$30,A25,$B$6:$B$30,"&lt;="&amp;B25)</f>
        <v/>
      </c>
    </row>
    <row r="26">
      <c r="A26" s="2" t="inlineStr">
        <is>
          <t>Banco Central de Nova Guanabara</t>
        </is>
      </c>
      <c r="B26" s="2" t="n">
        <v>3</v>
      </c>
      <c r="C26" s="2" t="inlineStr">
        <is>
          <t>Subsolo</t>
        </is>
      </c>
      <c r="D26" s="2" t="inlineStr">
        <is>
          <t>Pessoa</t>
        </is>
      </c>
      <c r="E26" s="13" t="n">
        <v>1620</v>
      </c>
      <c r="F26" s="9" t="n">
        <v>40000</v>
      </c>
      <c r="G26" s="10" t="n">
        <v>3.5</v>
      </c>
      <c r="H26" s="14">
        <f>MAX(0.5,E26/MAX(1,$C$2))</f>
        <v/>
      </c>
      <c r="I26" s="15">
        <f>G26*(1-Config!$B$7*MIN(1,$C$3/100))*H26</f>
        <v/>
      </c>
      <c r="J26" s="15">
        <f>SUMIFS($I$6:$I$30,$A$6:$A$30,A26,$B$6:$B$30,"&lt;="&amp;B26)</f>
        <v/>
      </c>
      <c r="K26" s="11">
        <f>SUMIFS($F$6:$F$30,$A$6:$A$30,A26,$B$6:$B$30,"&lt;="&amp;B26)</f>
        <v/>
      </c>
    </row>
    <row r="27">
      <c r="A27" s="2" t="inlineStr">
        <is>
          <t>Banco Central de Nova Guanabara</t>
        </is>
      </c>
      <c r="B27" s="2" t="n">
        <v>4</v>
      </c>
      <c r="C27" s="2" t="inlineStr">
        <is>
          <t>Corredor de Segurança</t>
        </is>
      </c>
      <c r="D27" s="2" t="inlineStr">
        <is>
          <t>Sistema</t>
        </is>
      </c>
      <c r="E27" s="13" t="n">
        <v>1740</v>
      </c>
      <c r="F27" s="9" t="n">
        <v>60000</v>
      </c>
      <c r="G27" s="10" t="n">
        <v>4.2</v>
      </c>
      <c r="H27" s="14">
        <f>MAX(0.5,E27/MAX(1,$C$2))</f>
        <v/>
      </c>
      <c r="I27" s="15">
        <f>G27*(1-Config!$B$7*MIN(1,$C$3/100))*H27</f>
        <v/>
      </c>
      <c r="J27" s="15">
        <f>SUMIFS($I$6:$I$30,$A$6:$A$30,A27,$B$6:$B$30,"&lt;="&amp;B27)</f>
        <v/>
      </c>
      <c r="K27" s="11">
        <f>SUMIFS($F$6:$F$30,$A$6:$A$30,A27,$B$6:$B$30,"&lt;="&amp;B27)</f>
        <v/>
      </c>
    </row>
    <row r="28">
      <c r="A28" s="2" t="inlineStr">
        <is>
          <t>Banco Central de Nova Guanabara</t>
        </is>
      </c>
      <c r="B28" s="2" t="n">
        <v>5</v>
      </c>
      <c r="C28" s="2" t="inlineStr">
        <is>
          <t>Sala de Câmeras</t>
        </is>
      </c>
      <c r="D28" s="2" t="inlineStr">
        <is>
          <t>Sistema</t>
        </is>
      </c>
      <c r="E28" s="13" t="n">
        <v>1860</v>
      </c>
      <c r="F28" s="9" t="n">
        <v>90000</v>
      </c>
      <c r="G28" s="10" t="n">
        <v>4.2</v>
      </c>
      <c r="H28" s="14">
        <f>MAX(0.5,E28/MAX(1,$C$2))</f>
        <v/>
      </c>
      <c r="I28" s="15">
        <f>G28*(1-Config!$B$7*MIN(1,$C$3/100))*H28</f>
        <v/>
      </c>
      <c r="J28" s="15">
        <f>SUMIFS($I$6:$I$30,$A$6:$A$30,A28,$B$6:$B$30,"&lt;="&amp;B28)</f>
        <v/>
      </c>
      <c r="K28" s="11">
        <f>SUMIFS($F$6:$F$30,$A$6:$A$30,A28,$B$6:$B$30,"&lt;="&amp;B28)</f>
        <v/>
      </c>
    </row>
    <row r="29">
      <c r="A29" s="2" t="inlineStr">
        <is>
          <t>Banco Central de Nova Guanabara</t>
        </is>
      </c>
      <c r="B29" s="2" t="n">
        <v>6</v>
      </c>
      <c r="C29" s="2" t="inlineStr">
        <is>
          <t>Antecâmara</t>
        </is>
      </c>
      <c r="D29" s="2" t="inlineStr">
        <is>
          <t>Fechadura</t>
        </is>
      </c>
      <c r="E29" s="13" t="n">
        <v>1980</v>
      </c>
      <c r="F29" s="9" t="n">
        <v>130000</v>
      </c>
      <c r="G29" s="10" t="n">
        <v>4.9</v>
      </c>
      <c r="H29" s="14">
        <f>MAX(0.5,E29/MAX(1,$C$2))</f>
        <v/>
      </c>
      <c r="I29" s="15">
        <f>G29*(1-Config!$B$7*MIN(1,$C$3/100))*H29</f>
        <v/>
      </c>
      <c r="J29" s="15">
        <f>SUMIFS($I$6:$I$30,$A$6:$A$30,A29,$B$6:$B$30,"&lt;="&amp;B29)</f>
        <v/>
      </c>
      <c r="K29" s="11">
        <f>SUMIFS($F$6:$F$30,$A$6:$A$30,A29,$B$6:$B$30,"&lt;="&amp;B29)</f>
        <v/>
      </c>
    </row>
    <row r="30">
      <c r="A30" s="2" t="inlineStr">
        <is>
          <t>Banco Central de Nova Guanabara</t>
        </is>
      </c>
      <c r="B30" s="2" t="n">
        <v>7</v>
      </c>
      <c r="C30" s="2" t="inlineStr">
        <is>
          <t>Cofre Central</t>
        </is>
      </c>
      <c r="D30" s="2" t="inlineStr">
        <is>
          <t>Fechadura</t>
        </is>
      </c>
      <c r="E30" s="13" t="n">
        <v>2280</v>
      </c>
      <c r="F30" s="9" t="n">
        <v>250000</v>
      </c>
      <c r="G30" s="10" t="n">
        <v>5.6</v>
      </c>
      <c r="H30" s="14">
        <f>MAX(0.5,E30/MAX(1,$C$2))</f>
        <v/>
      </c>
      <c r="I30" s="15">
        <f>G30*(1-Config!$B$7*MIN(1,$C$3/100))*H30</f>
        <v/>
      </c>
      <c r="J30" s="15">
        <f>SUMIFS($I$6:$I$30,$A$6:$A$30,A30,$B$6:$B$30,"&lt;="&amp;B30)</f>
        <v/>
      </c>
      <c r="K30" s="11">
        <f>SUMIFS($F$6:$F$30,$A$6:$A$30,A30,$B$6:$B$30,"&lt;="&amp;B30)</f>
        <v/>
      </c>
    </row>
    <row r="33">
      <c r="A33" s="3" t="inlineStr">
        <is>
          <t>Resumo por golpe (cenário da aba Config)</t>
        </is>
      </c>
    </row>
    <row r="34">
      <c r="A34" s="5" t="inlineStr">
        <is>
          <t>Golpe</t>
        </is>
      </c>
      <c r="B34" s="5" t="inlineStr">
        <is>
          <t>Salas</t>
        </is>
      </c>
      <c r="C34" s="5" t="inlineStr">
        <is>
          <t>Loot total</t>
        </is>
      </c>
      <c r="D34" s="5" t="inlineStr">
        <is>
          <t>Tempo total</t>
        </is>
      </c>
      <c r="E34" s="5" t="inlineStr">
        <is>
          <t>Alerta total</t>
        </is>
      </c>
      <c r="F34" s="5" t="inlineStr">
        <is>
          <t>Sirene?</t>
        </is>
      </c>
      <c r="G34" s="5" t="inlineStr">
        <is>
          <t>Pagamento (Lavanderia)</t>
        </is>
      </c>
      <c r="H34" s="5" t="inlineStr">
        <is>
          <t>Cr$ por minuto</t>
        </is>
      </c>
    </row>
    <row r="35">
      <c r="A35" s="2" t="inlineStr">
        <is>
          <t>Lotérica do Seu Zé</t>
        </is>
      </c>
      <c r="B35" s="2">
        <f>COUNTIF($A$6:$A$30,A35)</f>
        <v/>
      </c>
      <c r="C35" s="11">
        <f>SUMIF($A$6:$A$30,A35,$F$6:$F$30)</f>
        <v/>
      </c>
      <c r="D35" s="14">
        <f>SUMIF($A$6:$A$30,A35,$H$6:$H$30)</f>
        <v/>
      </c>
      <c r="E35" s="15">
        <f>SUMIF($A$6:$A$30,A35,$I$6:$I$30)</f>
        <v/>
      </c>
      <c r="F35" s="2">
        <f>IF(E35&gt;=100,"toca","não toca")</f>
        <v/>
      </c>
      <c r="G35" s="11">
        <f>C35*(1+Config!$B$29*Upgrades!$G$10/100)</f>
        <v/>
      </c>
      <c r="H35" s="11">
        <f>IF(D35&gt;0,G35/(D35/60),0)</f>
        <v/>
      </c>
    </row>
    <row r="36">
      <c r="A36" s="2" t="inlineStr">
        <is>
          <t>Joalheria Brilho Eterno</t>
        </is>
      </c>
      <c r="B36" s="2">
        <f>COUNTIF($A$6:$A$30,A36)</f>
        <v/>
      </c>
      <c r="C36" s="11">
        <f>SUMIF($A$6:$A$30,A36,$F$6:$F$30)</f>
        <v/>
      </c>
      <c r="D36" s="14">
        <f>SUMIF($A$6:$A$30,A36,$H$6:$H$30)</f>
        <v/>
      </c>
      <c r="E36" s="15">
        <f>SUMIF($A$6:$A$30,A36,$I$6:$I$30)</f>
        <v/>
      </c>
      <c r="F36" s="2">
        <f>IF(E36&gt;=100,"toca","não toca")</f>
        <v/>
      </c>
      <c r="G36" s="11">
        <f>C36*(1+Config!$B$29*Upgrades!$G$10/100)</f>
        <v/>
      </c>
      <c r="H36" s="11">
        <f>IF(D36&gt;0,G36/(D36/60),0)</f>
        <v/>
      </c>
    </row>
    <row r="37">
      <c r="A37" s="2" t="inlineStr">
        <is>
          <t>Casa de Câmbio Dólar Fácil</t>
        </is>
      </c>
      <c r="B37" s="2">
        <f>COUNTIF($A$6:$A$30,A37)</f>
        <v/>
      </c>
      <c r="C37" s="11">
        <f>SUMIF($A$6:$A$30,A37,$F$6:$F$30)</f>
        <v/>
      </c>
      <c r="D37" s="14">
        <f>SUMIF($A$6:$A$30,A37,$H$6:$H$30)</f>
        <v/>
      </c>
      <c r="E37" s="15">
        <f>SUMIF($A$6:$A$30,A37,$I$6:$I$30)</f>
        <v/>
      </c>
      <c r="F37" s="2">
        <f>IF(E37&gt;=100,"toca","não toca")</f>
        <v/>
      </c>
      <c r="G37" s="11">
        <f>C37*(1+Config!$B$29*Upgrades!$G$10/100)</f>
        <v/>
      </c>
      <c r="H37" s="11">
        <f>IF(D37&gt;0,G37/(D37/60),0)</f>
        <v/>
      </c>
    </row>
    <row r="38">
      <c r="A38" s="2" t="inlineStr">
        <is>
          <t>Cassino Clandestino</t>
        </is>
      </c>
      <c r="B38" s="2">
        <f>COUNTIF($A$6:$A$30,A38)</f>
        <v/>
      </c>
      <c r="C38" s="11">
        <f>SUMIF($A$6:$A$30,A38,$F$6:$F$30)</f>
        <v/>
      </c>
      <c r="D38" s="14">
        <f>SUMIF($A$6:$A$30,A38,$H$6:$H$30)</f>
        <v/>
      </c>
      <c r="E38" s="15">
        <f>SUMIF($A$6:$A$30,A38,$I$6:$I$30)</f>
        <v/>
      </c>
      <c r="F38" s="2">
        <f>IF(E38&gt;=100,"toca","não toca")</f>
        <v/>
      </c>
      <c r="G38" s="11">
        <f>C38*(1+Config!$B$29*Upgrades!$G$10/100)</f>
        <v/>
      </c>
      <c r="H38" s="11">
        <f>IF(D38&gt;0,G38/(D38/60),0)</f>
        <v/>
      </c>
    </row>
    <row r="39">
      <c r="A39" s="2" t="inlineStr">
        <is>
          <t>Banco Central de Nova Guanabara</t>
        </is>
      </c>
      <c r="B39" s="2">
        <f>COUNTIF($A$6:$A$30,A39)</f>
        <v/>
      </c>
      <c r="C39" s="11">
        <f>SUMIF($A$6:$A$30,A39,$F$6:$F$30)</f>
        <v/>
      </c>
      <c r="D39" s="14">
        <f>SUMIF($A$6:$A$30,A39,$H$6:$H$30)</f>
        <v/>
      </c>
      <c r="E39" s="15">
        <f>SUMIF($A$6:$A$30,A39,$I$6:$I$30)</f>
        <v/>
      </c>
      <c r="F39" s="2">
        <f>IF(E39&gt;=100,"toca","não toca")</f>
        <v/>
      </c>
      <c r="G39" s="11">
        <f>C39*(1+Config!$B$29*Upgrades!$G$10/100)</f>
        <v/>
      </c>
      <c r="H39" s="11">
        <f>IF(D39&gt;0,G39/(D39/60),0)</f>
        <v/>
      </c>
    </row>
    <row r="41">
      <c r="A41" s="3" t="inlineStr">
        <is>
          <t>Alerta total do golpe por nível da crew (com os upgrades do cenário). Vermelho = sirene sem habilidade.</t>
        </is>
      </c>
    </row>
    <row r="42">
      <c r="A42" s="5" t="inlineStr">
        <is>
          <t>Golpe</t>
        </is>
      </c>
      <c r="B42" s="5" t="inlineStr">
        <is>
          <t>Nv 1</t>
        </is>
      </c>
      <c r="C42" s="5" t="inlineStr">
        <is>
          <t>Nv 2</t>
        </is>
      </c>
      <c r="D42" s="5" t="inlineStr">
        <is>
          <t>Nv 3</t>
        </is>
      </c>
      <c r="E42" s="5" t="inlineStr">
        <is>
          <t>Nv 4</t>
        </is>
      </c>
      <c r="F42" s="5" t="inlineStr">
        <is>
          <t>Nv 5</t>
        </is>
      </c>
      <c r="G42" s="5" t="inlineStr">
        <is>
          <t>Nv 6</t>
        </is>
      </c>
      <c r="H42" s="5" t="inlineStr">
        <is>
          <t>Nv 7</t>
        </is>
      </c>
      <c r="I42" s="5" t="inlineStr">
        <is>
          <t>Nv 8</t>
        </is>
      </c>
      <c r="J42" s="5" t="inlineStr">
        <is>
          <t>Nv 9</t>
        </is>
      </c>
      <c r="K42" s="5" t="inlineStr">
        <is>
          <t>Nv 10</t>
        </is>
      </c>
    </row>
    <row r="43">
      <c r="A43" s="2" t="inlineStr">
        <is>
          <t>Lotérica do Seu Zé</t>
        </is>
      </c>
      <c r="B43" s="8">
        <f>SUMPRODUCT(($A$6:$A$30=$A43)*$E$6:$E$30*$G$6:$G$30)*(1-Config!$B$7*MIN(1,(AVERAGE(Ladrões!$B$19:$B$21)*(1+Config!$B$28*Upgrades!$G$7/100))/100))/(AVERAGE(Ladrões!$B$12:$B$14)*(1+Config!$B$27*Upgrades!$G$6/100))</f>
        <v/>
      </c>
      <c r="C43" s="8">
        <f>SUMPRODUCT(($A$6:$A$30=$A43)*$E$6:$E$30*$G$6:$G$30)*(1-Config!$B$7*MIN(1,(AVERAGE(Ladrões!$C$19:$C$21)*(1+Config!$B$28*Upgrades!$G$7/100))/100))/(AVERAGE(Ladrões!$C$12:$C$14)*(1+Config!$B$27*Upgrades!$G$6/100))</f>
        <v/>
      </c>
      <c r="D43" s="8">
        <f>SUMPRODUCT(($A$6:$A$30=$A43)*$E$6:$E$30*$G$6:$G$30)*(1-Config!$B$7*MIN(1,(AVERAGE(Ladrões!$D$19:$D$21)*(1+Config!$B$28*Upgrades!$G$7/100))/100))/(AVERAGE(Ladrões!$D$12:$D$14)*(1+Config!$B$27*Upgrades!$G$6/100))</f>
        <v/>
      </c>
      <c r="E43" s="8">
        <f>SUMPRODUCT(($A$6:$A$30=$A43)*$E$6:$E$30*$G$6:$G$30)*(1-Config!$B$7*MIN(1,(AVERAGE(Ladrões!$E$19:$E$21)*(1+Config!$B$28*Upgrades!$G$7/100))/100))/(AVERAGE(Ladrões!$E$12:$E$14)*(1+Config!$B$27*Upgrades!$G$6/100))</f>
        <v/>
      </c>
      <c r="F43" s="8">
        <f>SUMPRODUCT(($A$6:$A$30=$A43)*$E$6:$E$30*$G$6:$G$30)*(1-Config!$B$7*MIN(1,(AVERAGE(Ladrões!$F$19:$F$21)*(1+Config!$B$28*Upgrades!$G$7/100))/100))/(AVERAGE(Ladrões!$F$12:$F$14)*(1+Config!$B$27*Upgrades!$G$6/100))</f>
        <v/>
      </c>
      <c r="G43" s="8">
        <f>SUMPRODUCT(($A$6:$A$30=$A43)*$E$6:$E$30*$G$6:$G$30)*(1-Config!$B$7*MIN(1,(AVERAGE(Ladrões!$G$19:$G$21)*(1+Config!$B$28*Upgrades!$G$7/100))/100))/(AVERAGE(Ladrões!$G$12:$G$14)*(1+Config!$B$27*Upgrades!$G$6/100))</f>
        <v/>
      </c>
      <c r="H43" s="8">
        <f>SUMPRODUCT(($A$6:$A$30=$A43)*$E$6:$E$30*$G$6:$G$30)*(1-Config!$B$7*MIN(1,(AVERAGE(Ladrões!$H$19:$H$21)*(1+Config!$B$28*Upgrades!$G$7/100))/100))/(AVERAGE(Ladrões!$H$12:$H$14)*(1+Config!$B$27*Upgrades!$G$6/100))</f>
        <v/>
      </c>
      <c r="I43" s="8">
        <f>SUMPRODUCT(($A$6:$A$30=$A43)*$E$6:$E$30*$G$6:$G$30)*(1-Config!$B$7*MIN(1,(AVERAGE(Ladrões!$I$19:$I$21)*(1+Config!$B$28*Upgrades!$G$7/100))/100))/(AVERAGE(Ladrões!$I$12:$I$14)*(1+Config!$B$27*Upgrades!$G$6/100))</f>
        <v/>
      </c>
      <c r="J43" s="8">
        <f>SUMPRODUCT(($A$6:$A$30=$A43)*$E$6:$E$30*$G$6:$G$30)*(1-Config!$B$7*MIN(1,(AVERAGE(Ladrões!$J$19:$J$21)*(1+Config!$B$28*Upgrades!$G$7/100))/100))/(AVERAGE(Ladrões!$J$12:$J$14)*(1+Config!$B$27*Upgrades!$G$6/100))</f>
        <v/>
      </c>
      <c r="K43" s="8">
        <f>SUMPRODUCT(($A$6:$A$30=$A43)*$E$6:$E$30*$G$6:$G$30)*(1-Config!$B$7*MIN(1,(AVERAGE(Ladrões!$K$19:$K$21)*(1+Config!$B$28*Upgrades!$G$7/100))/100))/(AVERAGE(Ladrões!$K$12:$K$14)*(1+Config!$B$27*Upgrades!$G$6/100))</f>
        <v/>
      </c>
    </row>
    <row r="44">
      <c r="A44" s="2" t="inlineStr">
        <is>
          <t>Joalheria Brilho Eterno</t>
        </is>
      </c>
      <c r="B44" s="8">
        <f>SUMPRODUCT(($A$6:$A$30=$A44)*$E$6:$E$30*$G$6:$G$30)*(1-Config!$B$7*MIN(1,(AVERAGE(Ladrões!$B$19:$B$21)*(1+Config!$B$28*Upgrades!$G$7/100))/100))/(AVERAGE(Ladrões!$B$12:$B$14)*(1+Config!$B$27*Upgrades!$G$6/100))</f>
        <v/>
      </c>
      <c r="C44" s="8">
        <f>SUMPRODUCT(($A$6:$A$30=$A44)*$E$6:$E$30*$G$6:$G$30)*(1-Config!$B$7*MIN(1,(AVERAGE(Ladrões!$C$19:$C$21)*(1+Config!$B$28*Upgrades!$G$7/100))/100))/(AVERAGE(Ladrões!$C$12:$C$14)*(1+Config!$B$27*Upgrades!$G$6/100))</f>
        <v/>
      </c>
      <c r="D44" s="8">
        <f>SUMPRODUCT(($A$6:$A$30=$A44)*$E$6:$E$30*$G$6:$G$30)*(1-Config!$B$7*MIN(1,(AVERAGE(Ladrões!$D$19:$D$21)*(1+Config!$B$28*Upgrades!$G$7/100))/100))/(AVERAGE(Ladrões!$D$12:$D$14)*(1+Config!$B$27*Upgrades!$G$6/100))</f>
        <v/>
      </c>
      <c r="E44" s="8">
        <f>SUMPRODUCT(($A$6:$A$30=$A44)*$E$6:$E$30*$G$6:$G$30)*(1-Config!$B$7*MIN(1,(AVERAGE(Ladrões!$E$19:$E$21)*(1+Config!$B$28*Upgrades!$G$7/100))/100))/(AVERAGE(Ladrões!$E$12:$E$14)*(1+Config!$B$27*Upgrades!$G$6/100))</f>
        <v/>
      </c>
      <c r="F44" s="8">
        <f>SUMPRODUCT(($A$6:$A$30=$A44)*$E$6:$E$30*$G$6:$G$30)*(1-Config!$B$7*MIN(1,(AVERAGE(Ladrões!$F$19:$F$21)*(1+Config!$B$28*Upgrades!$G$7/100))/100))/(AVERAGE(Ladrões!$F$12:$F$14)*(1+Config!$B$27*Upgrades!$G$6/100))</f>
        <v/>
      </c>
      <c r="G44" s="8">
        <f>SUMPRODUCT(($A$6:$A$30=$A44)*$E$6:$E$30*$G$6:$G$30)*(1-Config!$B$7*MIN(1,(AVERAGE(Ladrões!$G$19:$G$21)*(1+Config!$B$28*Upgrades!$G$7/100))/100))/(AVERAGE(Ladrões!$G$12:$G$14)*(1+Config!$B$27*Upgrades!$G$6/100))</f>
        <v/>
      </c>
      <c r="H44" s="8">
        <f>SUMPRODUCT(($A$6:$A$30=$A44)*$E$6:$E$30*$G$6:$G$30)*(1-Config!$B$7*MIN(1,(AVERAGE(Ladrões!$H$19:$H$21)*(1+Config!$B$28*Upgrades!$G$7/100))/100))/(AVERAGE(Ladrões!$H$12:$H$14)*(1+Config!$B$27*Upgrades!$G$6/100))</f>
        <v/>
      </c>
      <c r="I44" s="8">
        <f>SUMPRODUCT(($A$6:$A$30=$A44)*$E$6:$E$30*$G$6:$G$30)*(1-Config!$B$7*MIN(1,(AVERAGE(Ladrões!$I$19:$I$21)*(1+Config!$B$28*Upgrades!$G$7/100))/100))/(AVERAGE(Ladrões!$I$12:$I$14)*(1+Config!$B$27*Upgrades!$G$6/100))</f>
        <v/>
      </c>
      <c r="J44" s="8">
        <f>SUMPRODUCT(($A$6:$A$30=$A44)*$E$6:$E$30*$G$6:$G$30)*(1-Config!$B$7*MIN(1,(AVERAGE(Ladrões!$J$19:$J$21)*(1+Config!$B$28*Upgrades!$G$7/100))/100))/(AVERAGE(Ladrões!$J$12:$J$14)*(1+Config!$B$27*Upgrades!$G$6/100))</f>
        <v/>
      </c>
      <c r="K44" s="8">
        <f>SUMPRODUCT(($A$6:$A$30=$A44)*$E$6:$E$30*$G$6:$G$30)*(1-Config!$B$7*MIN(1,(AVERAGE(Ladrões!$K$19:$K$21)*(1+Config!$B$28*Upgrades!$G$7/100))/100))/(AVERAGE(Ladrões!$K$12:$K$14)*(1+Config!$B$27*Upgrades!$G$6/100))</f>
        <v/>
      </c>
    </row>
    <row r="45">
      <c r="A45" s="2" t="inlineStr">
        <is>
          <t>Casa de Câmbio Dólar Fácil</t>
        </is>
      </c>
      <c r="B45" s="8">
        <f>SUMPRODUCT(($A$6:$A$30=$A45)*$E$6:$E$30*$G$6:$G$30)*(1-Config!$B$7*MIN(1,(AVERAGE(Ladrões!$B$19:$B$21)*(1+Config!$B$28*Upgrades!$G$7/100))/100))/(AVERAGE(Ladrões!$B$12:$B$14)*(1+Config!$B$27*Upgrades!$G$6/100))</f>
        <v/>
      </c>
      <c r="C45" s="8">
        <f>SUMPRODUCT(($A$6:$A$30=$A45)*$E$6:$E$30*$G$6:$G$30)*(1-Config!$B$7*MIN(1,(AVERAGE(Ladrões!$C$19:$C$21)*(1+Config!$B$28*Upgrades!$G$7/100))/100))/(AVERAGE(Ladrões!$C$12:$C$14)*(1+Config!$B$27*Upgrades!$G$6/100))</f>
        <v/>
      </c>
      <c r="D45" s="8">
        <f>SUMPRODUCT(($A$6:$A$30=$A45)*$E$6:$E$30*$G$6:$G$30)*(1-Config!$B$7*MIN(1,(AVERAGE(Ladrões!$D$19:$D$21)*(1+Config!$B$28*Upgrades!$G$7/100))/100))/(AVERAGE(Ladrões!$D$12:$D$14)*(1+Config!$B$27*Upgrades!$G$6/100))</f>
        <v/>
      </c>
      <c r="E45" s="8">
        <f>SUMPRODUCT(($A$6:$A$30=$A45)*$E$6:$E$30*$G$6:$G$30)*(1-Config!$B$7*MIN(1,(AVERAGE(Ladrões!$E$19:$E$21)*(1+Config!$B$28*Upgrades!$G$7/100))/100))/(AVERAGE(Ladrões!$E$12:$E$14)*(1+Config!$B$27*Upgrades!$G$6/100))</f>
        <v/>
      </c>
      <c r="F45" s="8">
        <f>SUMPRODUCT(($A$6:$A$30=$A45)*$E$6:$E$30*$G$6:$G$30)*(1-Config!$B$7*MIN(1,(AVERAGE(Ladrões!$F$19:$F$21)*(1+Config!$B$28*Upgrades!$G$7/100))/100))/(AVERAGE(Ladrões!$F$12:$F$14)*(1+Config!$B$27*Upgrades!$G$6/100))</f>
        <v/>
      </c>
      <c r="G45" s="8">
        <f>SUMPRODUCT(($A$6:$A$30=$A45)*$E$6:$E$30*$G$6:$G$30)*(1-Config!$B$7*MIN(1,(AVERAGE(Ladrões!$G$19:$G$21)*(1+Config!$B$28*Upgrades!$G$7/100))/100))/(AVERAGE(Ladrões!$G$12:$G$14)*(1+Config!$B$27*Upgrades!$G$6/100))</f>
        <v/>
      </c>
      <c r="H45" s="8">
        <f>SUMPRODUCT(($A$6:$A$30=$A45)*$E$6:$E$30*$G$6:$G$30)*(1-Config!$B$7*MIN(1,(AVERAGE(Ladrões!$H$19:$H$21)*(1+Config!$B$28*Upgrades!$G$7/100))/100))/(AVERAGE(Ladrões!$H$12:$H$14)*(1+Config!$B$27*Upgrades!$G$6/100))</f>
        <v/>
      </c>
      <c r="I45" s="8">
        <f>SUMPRODUCT(($A$6:$A$30=$A45)*$E$6:$E$30*$G$6:$G$30)*(1-Config!$B$7*MIN(1,(AVERAGE(Ladrões!$I$19:$I$21)*(1+Config!$B$28*Upgrades!$G$7/100))/100))/(AVERAGE(Ladrões!$I$12:$I$14)*(1+Config!$B$27*Upgrades!$G$6/100))</f>
        <v/>
      </c>
      <c r="J45" s="8">
        <f>SUMPRODUCT(($A$6:$A$30=$A45)*$E$6:$E$30*$G$6:$G$30)*(1-Config!$B$7*MIN(1,(AVERAGE(Ladrões!$J$19:$J$21)*(1+Config!$B$28*Upgrades!$G$7/100))/100))/(AVERAGE(Ladrões!$J$12:$J$14)*(1+Config!$B$27*Upgrades!$G$6/100))</f>
        <v/>
      </c>
      <c r="K45" s="8">
        <f>SUMPRODUCT(($A$6:$A$30=$A45)*$E$6:$E$30*$G$6:$G$30)*(1-Config!$B$7*MIN(1,(AVERAGE(Ladrões!$K$19:$K$21)*(1+Config!$B$28*Upgrades!$G$7/100))/100))/(AVERAGE(Ladrões!$K$12:$K$14)*(1+Config!$B$27*Upgrades!$G$6/100))</f>
        <v/>
      </c>
    </row>
    <row r="46">
      <c r="A46" s="2" t="inlineStr">
        <is>
          <t>Cassino Clandestino</t>
        </is>
      </c>
      <c r="B46" s="8">
        <f>SUMPRODUCT(($A$6:$A$30=$A46)*$E$6:$E$30*$G$6:$G$30)*(1-Config!$B$7*MIN(1,(AVERAGE(Ladrões!$B$19:$B$21)*(1+Config!$B$28*Upgrades!$G$7/100))/100))/(AVERAGE(Ladrões!$B$12:$B$14)*(1+Config!$B$27*Upgrades!$G$6/100))</f>
        <v/>
      </c>
      <c r="C46" s="8">
        <f>SUMPRODUCT(($A$6:$A$30=$A46)*$E$6:$E$30*$G$6:$G$30)*(1-Config!$B$7*MIN(1,(AVERAGE(Ladrões!$C$19:$C$21)*(1+Config!$B$28*Upgrades!$G$7/100))/100))/(AVERAGE(Ladrões!$C$12:$C$14)*(1+Config!$B$27*Upgrades!$G$6/100))</f>
        <v/>
      </c>
      <c r="D46" s="8">
        <f>SUMPRODUCT(($A$6:$A$30=$A46)*$E$6:$E$30*$G$6:$G$30)*(1-Config!$B$7*MIN(1,(AVERAGE(Ladrões!$D$19:$D$21)*(1+Config!$B$28*Upgrades!$G$7/100))/100))/(AVERAGE(Ladrões!$D$12:$D$14)*(1+Config!$B$27*Upgrades!$G$6/100))</f>
        <v/>
      </c>
      <c r="E46" s="8">
        <f>SUMPRODUCT(($A$6:$A$30=$A46)*$E$6:$E$30*$G$6:$G$30)*(1-Config!$B$7*MIN(1,(AVERAGE(Ladrões!$E$19:$E$21)*(1+Config!$B$28*Upgrades!$G$7/100))/100))/(AVERAGE(Ladrões!$E$12:$E$14)*(1+Config!$B$27*Upgrades!$G$6/100))</f>
        <v/>
      </c>
      <c r="F46" s="8">
        <f>SUMPRODUCT(($A$6:$A$30=$A46)*$E$6:$E$30*$G$6:$G$30)*(1-Config!$B$7*MIN(1,(AVERAGE(Ladrões!$F$19:$F$21)*(1+Config!$B$28*Upgrades!$G$7/100))/100))/(AVERAGE(Ladrões!$F$12:$F$14)*(1+Config!$B$27*Upgrades!$G$6/100))</f>
        <v/>
      </c>
      <c r="G46" s="8">
        <f>SUMPRODUCT(($A$6:$A$30=$A46)*$E$6:$E$30*$G$6:$G$30)*(1-Config!$B$7*MIN(1,(AVERAGE(Ladrões!$G$19:$G$21)*(1+Config!$B$28*Upgrades!$G$7/100))/100))/(AVERAGE(Ladrões!$G$12:$G$14)*(1+Config!$B$27*Upgrades!$G$6/100))</f>
        <v/>
      </c>
      <c r="H46" s="8">
        <f>SUMPRODUCT(($A$6:$A$30=$A46)*$E$6:$E$30*$G$6:$G$30)*(1-Config!$B$7*MIN(1,(AVERAGE(Ladrões!$H$19:$H$21)*(1+Config!$B$28*Upgrades!$G$7/100))/100))/(AVERAGE(Ladrões!$H$12:$H$14)*(1+Config!$B$27*Upgrades!$G$6/100))</f>
        <v/>
      </c>
      <c r="I46" s="8">
        <f>SUMPRODUCT(($A$6:$A$30=$A46)*$E$6:$E$30*$G$6:$G$30)*(1-Config!$B$7*MIN(1,(AVERAGE(Ladrões!$I$19:$I$21)*(1+Config!$B$28*Upgrades!$G$7/100))/100))/(AVERAGE(Ladrões!$I$12:$I$14)*(1+Config!$B$27*Upgrades!$G$6/100))</f>
        <v/>
      </c>
      <c r="J46" s="8">
        <f>SUMPRODUCT(($A$6:$A$30=$A46)*$E$6:$E$30*$G$6:$G$30)*(1-Config!$B$7*MIN(1,(AVERAGE(Ladrões!$J$19:$J$21)*(1+Config!$B$28*Upgrades!$G$7/100))/100))/(AVERAGE(Ladrões!$J$12:$J$14)*(1+Config!$B$27*Upgrades!$G$6/100))</f>
        <v/>
      </c>
      <c r="K46" s="8">
        <f>SUMPRODUCT(($A$6:$A$30=$A46)*$E$6:$E$30*$G$6:$G$30)*(1-Config!$B$7*MIN(1,(AVERAGE(Ladrões!$K$19:$K$21)*(1+Config!$B$28*Upgrades!$G$7/100))/100))/(AVERAGE(Ladrões!$K$12:$K$14)*(1+Config!$B$27*Upgrades!$G$6/100))</f>
        <v/>
      </c>
    </row>
    <row r="47">
      <c r="A47" s="2" t="inlineStr">
        <is>
          <t>Banco Central de Nova Guanabara</t>
        </is>
      </c>
      <c r="B47" s="8">
        <f>SUMPRODUCT(($A$6:$A$30=$A47)*$E$6:$E$30*$G$6:$G$30)*(1-Config!$B$7*MIN(1,(AVERAGE(Ladrões!$B$19:$B$21)*(1+Config!$B$28*Upgrades!$G$7/100))/100))/(AVERAGE(Ladrões!$B$12:$B$14)*(1+Config!$B$27*Upgrades!$G$6/100))</f>
        <v/>
      </c>
      <c r="C47" s="8">
        <f>SUMPRODUCT(($A$6:$A$30=$A47)*$E$6:$E$30*$G$6:$G$30)*(1-Config!$B$7*MIN(1,(AVERAGE(Ladrões!$C$19:$C$21)*(1+Config!$B$28*Upgrades!$G$7/100))/100))/(AVERAGE(Ladrões!$C$12:$C$14)*(1+Config!$B$27*Upgrades!$G$6/100))</f>
        <v/>
      </c>
      <c r="D47" s="8">
        <f>SUMPRODUCT(($A$6:$A$30=$A47)*$E$6:$E$30*$G$6:$G$30)*(1-Config!$B$7*MIN(1,(AVERAGE(Ladrões!$D$19:$D$21)*(1+Config!$B$28*Upgrades!$G$7/100))/100))/(AVERAGE(Ladrões!$D$12:$D$14)*(1+Config!$B$27*Upgrades!$G$6/100))</f>
        <v/>
      </c>
      <c r="E47" s="8">
        <f>SUMPRODUCT(($A$6:$A$30=$A47)*$E$6:$E$30*$G$6:$G$30)*(1-Config!$B$7*MIN(1,(AVERAGE(Ladrões!$E$19:$E$21)*(1+Config!$B$28*Upgrades!$G$7/100))/100))/(AVERAGE(Ladrões!$E$12:$E$14)*(1+Config!$B$27*Upgrades!$G$6/100))</f>
        <v/>
      </c>
      <c r="F47" s="8">
        <f>SUMPRODUCT(($A$6:$A$30=$A47)*$E$6:$E$30*$G$6:$G$30)*(1-Config!$B$7*MIN(1,(AVERAGE(Ladrões!$F$19:$F$21)*(1+Config!$B$28*Upgrades!$G$7/100))/100))/(AVERAGE(Ladrões!$F$12:$F$14)*(1+Config!$B$27*Upgrades!$G$6/100))</f>
        <v/>
      </c>
      <c r="G47" s="8">
        <f>SUMPRODUCT(($A$6:$A$30=$A47)*$E$6:$E$30*$G$6:$G$30)*(1-Config!$B$7*MIN(1,(AVERAGE(Ladrões!$G$19:$G$21)*(1+Config!$B$28*Upgrades!$G$7/100))/100))/(AVERAGE(Ladrões!$G$12:$G$14)*(1+Config!$B$27*Upgrades!$G$6/100))</f>
        <v/>
      </c>
      <c r="H47" s="8">
        <f>SUMPRODUCT(($A$6:$A$30=$A47)*$E$6:$E$30*$G$6:$G$30)*(1-Config!$B$7*MIN(1,(AVERAGE(Ladrões!$H$19:$H$21)*(1+Config!$B$28*Upgrades!$G$7/100))/100))/(AVERAGE(Ladrões!$H$12:$H$14)*(1+Config!$B$27*Upgrades!$G$6/100))</f>
        <v/>
      </c>
      <c r="I47" s="8">
        <f>SUMPRODUCT(($A$6:$A$30=$A47)*$E$6:$E$30*$G$6:$G$30)*(1-Config!$B$7*MIN(1,(AVERAGE(Ladrões!$I$19:$I$21)*(1+Config!$B$28*Upgrades!$G$7/100))/100))/(AVERAGE(Ladrões!$I$12:$I$14)*(1+Config!$B$27*Upgrades!$G$6/100))</f>
        <v/>
      </c>
      <c r="J47" s="8">
        <f>SUMPRODUCT(($A$6:$A$30=$A47)*$E$6:$E$30*$G$6:$G$30)*(1-Config!$B$7*MIN(1,(AVERAGE(Ladrões!$J$19:$J$21)*(1+Config!$B$28*Upgrades!$G$7/100))/100))/(AVERAGE(Ladrões!$J$12:$J$14)*(1+Config!$B$27*Upgrades!$G$6/100))</f>
        <v/>
      </c>
      <c r="K47" s="8">
        <f>SUMPRODUCT(($A$6:$A$30=$A47)*$E$6:$E$30*$G$6:$G$30)*(1-Config!$B$7*MIN(1,(AVERAGE(Ladrões!$K$19:$K$21)*(1+Config!$B$28*Upgrades!$G$7/100))/100))/(AVERAGE(Ladrões!$K$12:$K$14)*(1+Config!$B$27*Upgrades!$G$6/100))</f>
        <v/>
      </c>
    </row>
    <row r="48">
      <c r="A48" s="3" t="inlineStr">
        <is>
          <t>Tempo total do golpe (s) por nível da crew</t>
        </is>
      </c>
    </row>
    <row r="49">
      <c r="A49" s="5" t="inlineStr">
        <is>
          <t>Golpe</t>
        </is>
      </c>
      <c r="B49" s="5" t="inlineStr">
        <is>
          <t>Nv 1</t>
        </is>
      </c>
      <c r="C49" s="5" t="inlineStr">
        <is>
          <t>Nv 2</t>
        </is>
      </c>
      <c r="D49" s="5" t="inlineStr">
        <is>
          <t>Nv 3</t>
        </is>
      </c>
      <c r="E49" s="5" t="inlineStr">
        <is>
          <t>Nv 4</t>
        </is>
      </c>
      <c r="F49" s="5" t="inlineStr">
        <is>
          <t>Nv 5</t>
        </is>
      </c>
      <c r="G49" s="5" t="inlineStr">
        <is>
          <t>Nv 6</t>
        </is>
      </c>
      <c r="H49" s="5" t="inlineStr">
        <is>
          <t>Nv 7</t>
        </is>
      </c>
      <c r="I49" s="5" t="inlineStr">
        <is>
          <t>Nv 8</t>
        </is>
      </c>
      <c r="J49" s="5" t="inlineStr">
        <is>
          <t>Nv 9</t>
        </is>
      </c>
      <c r="K49" s="5" t="inlineStr">
        <is>
          <t>Nv 10</t>
        </is>
      </c>
    </row>
    <row r="50">
      <c r="A50" s="2" t="inlineStr">
        <is>
          <t>Lotérica do Seu Zé</t>
        </is>
      </c>
      <c r="B50" s="8">
        <f>SUMPRODUCT(($A$6:$A$30=$A50)*$E$6:$E$30)/(AVERAGE(Ladrões!$B$12:$B$14)*(1+Config!$B$27*Upgrades!$G$6/100))</f>
        <v/>
      </c>
      <c r="C50" s="8">
        <f>SUMPRODUCT(($A$6:$A$30=$A50)*$E$6:$E$30)/(AVERAGE(Ladrões!$C$12:$C$14)*(1+Config!$B$27*Upgrades!$G$6/100))</f>
        <v/>
      </c>
      <c r="D50" s="8">
        <f>SUMPRODUCT(($A$6:$A$30=$A50)*$E$6:$E$30)/(AVERAGE(Ladrões!$D$12:$D$14)*(1+Config!$B$27*Upgrades!$G$6/100))</f>
        <v/>
      </c>
      <c r="E50" s="8">
        <f>SUMPRODUCT(($A$6:$A$30=$A50)*$E$6:$E$30)/(AVERAGE(Ladrões!$E$12:$E$14)*(1+Config!$B$27*Upgrades!$G$6/100))</f>
        <v/>
      </c>
      <c r="F50" s="8">
        <f>SUMPRODUCT(($A$6:$A$30=$A50)*$E$6:$E$30)/(AVERAGE(Ladrões!$F$12:$F$14)*(1+Config!$B$27*Upgrades!$G$6/100))</f>
        <v/>
      </c>
      <c r="G50" s="8">
        <f>SUMPRODUCT(($A$6:$A$30=$A50)*$E$6:$E$30)/(AVERAGE(Ladrões!$G$12:$G$14)*(1+Config!$B$27*Upgrades!$G$6/100))</f>
        <v/>
      </c>
      <c r="H50" s="8">
        <f>SUMPRODUCT(($A$6:$A$30=$A50)*$E$6:$E$30)/(AVERAGE(Ladrões!$H$12:$H$14)*(1+Config!$B$27*Upgrades!$G$6/100))</f>
        <v/>
      </c>
      <c r="I50" s="8">
        <f>SUMPRODUCT(($A$6:$A$30=$A50)*$E$6:$E$30)/(AVERAGE(Ladrões!$I$12:$I$14)*(1+Config!$B$27*Upgrades!$G$6/100))</f>
        <v/>
      </c>
      <c r="J50" s="8">
        <f>SUMPRODUCT(($A$6:$A$30=$A50)*$E$6:$E$30)/(AVERAGE(Ladrões!$J$12:$J$14)*(1+Config!$B$27*Upgrades!$G$6/100))</f>
        <v/>
      </c>
      <c r="K50" s="8">
        <f>SUMPRODUCT(($A$6:$A$30=$A50)*$E$6:$E$30)/(AVERAGE(Ladrões!$K$12:$K$14)*(1+Config!$B$27*Upgrades!$G$6/100))</f>
        <v/>
      </c>
    </row>
    <row r="51">
      <c r="A51" s="2" t="inlineStr">
        <is>
          <t>Joalheria Brilho Eterno</t>
        </is>
      </c>
      <c r="B51" s="8">
        <f>SUMPRODUCT(($A$6:$A$30=$A51)*$E$6:$E$30)/(AVERAGE(Ladrões!$B$12:$B$14)*(1+Config!$B$27*Upgrades!$G$6/100))</f>
        <v/>
      </c>
      <c r="C51" s="8">
        <f>SUMPRODUCT(($A$6:$A$30=$A51)*$E$6:$E$30)/(AVERAGE(Ladrões!$C$12:$C$14)*(1+Config!$B$27*Upgrades!$G$6/100))</f>
        <v/>
      </c>
      <c r="D51" s="8">
        <f>SUMPRODUCT(($A$6:$A$30=$A51)*$E$6:$E$30)/(AVERAGE(Ladrões!$D$12:$D$14)*(1+Config!$B$27*Upgrades!$G$6/100))</f>
        <v/>
      </c>
      <c r="E51" s="8">
        <f>SUMPRODUCT(($A$6:$A$30=$A51)*$E$6:$E$30)/(AVERAGE(Ladrões!$E$12:$E$14)*(1+Config!$B$27*Upgrades!$G$6/100))</f>
        <v/>
      </c>
      <c r="F51" s="8">
        <f>SUMPRODUCT(($A$6:$A$30=$A51)*$E$6:$E$30)/(AVERAGE(Ladrões!$F$12:$F$14)*(1+Config!$B$27*Upgrades!$G$6/100))</f>
        <v/>
      </c>
      <c r="G51" s="8">
        <f>SUMPRODUCT(($A$6:$A$30=$A51)*$E$6:$E$30)/(AVERAGE(Ladrões!$G$12:$G$14)*(1+Config!$B$27*Upgrades!$G$6/100))</f>
        <v/>
      </c>
      <c r="H51" s="8">
        <f>SUMPRODUCT(($A$6:$A$30=$A51)*$E$6:$E$30)/(AVERAGE(Ladrões!$H$12:$H$14)*(1+Config!$B$27*Upgrades!$G$6/100))</f>
        <v/>
      </c>
      <c r="I51" s="8">
        <f>SUMPRODUCT(($A$6:$A$30=$A51)*$E$6:$E$30)/(AVERAGE(Ladrões!$I$12:$I$14)*(1+Config!$B$27*Upgrades!$G$6/100))</f>
        <v/>
      </c>
      <c r="J51" s="8">
        <f>SUMPRODUCT(($A$6:$A$30=$A51)*$E$6:$E$30)/(AVERAGE(Ladrões!$J$12:$J$14)*(1+Config!$B$27*Upgrades!$G$6/100))</f>
        <v/>
      </c>
      <c r="K51" s="8">
        <f>SUMPRODUCT(($A$6:$A$30=$A51)*$E$6:$E$30)/(AVERAGE(Ladrões!$K$12:$K$14)*(1+Config!$B$27*Upgrades!$G$6/100))</f>
        <v/>
      </c>
    </row>
    <row r="52">
      <c r="A52" s="2" t="inlineStr">
        <is>
          <t>Casa de Câmbio Dólar Fácil</t>
        </is>
      </c>
      <c r="B52" s="8">
        <f>SUMPRODUCT(($A$6:$A$30=$A52)*$E$6:$E$30)/(AVERAGE(Ladrões!$B$12:$B$14)*(1+Config!$B$27*Upgrades!$G$6/100))</f>
        <v/>
      </c>
      <c r="C52" s="8">
        <f>SUMPRODUCT(($A$6:$A$30=$A52)*$E$6:$E$30)/(AVERAGE(Ladrões!$C$12:$C$14)*(1+Config!$B$27*Upgrades!$G$6/100))</f>
        <v/>
      </c>
      <c r="D52" s="8">
        <f>SUMPRODUCT(($A$6:$A$30=$A52)*$E$6:$E$30)/(AVERAGE(Ladrões!$D$12:$D$14)*(1+Config!$B$27*Upgrades!$G$6/100))</f>
        <v/>
      </c>
      <c r="E52" s="8">
        <f>SUMPRODUCT(($A$6:$A$30=$A52)*$E$6:$E$30)/(AVERAGE(Ladrões!$E$12:$E$14)*(1+Config!$B$27*Upgrades!$G$6/100))</f>
        <v/>
      </c>
      <c r="F52" s="8">
        <f>SUMPRODUCT(($A$6:$A$30=$A52)*$E$6:$E$30)/(AVERAGE(Ladrões!$F$12:$F$14)*(1+Config!$B$27*Upgrades!$G$6/100))</f>
        <v/>
      </c>
      <c r="G52" s="8">
        <f>SUMPRODUCT(($A$6:$A$30=$A52)*$E$6:$E$30)/(AVERAGE(Ladrões!$G$12:$G$14)*(1+Config!$B$27*Upgrades!$G$6/100))</f>
        <v/>
      </c>
      <c r="H52" s="8">
        <f>SUMPRODUCT(($A$6:$A$30=$A52)*$E$6:$E$30)/(AVERAGE(Ladrões!$H$12:$H$14)*(1+Config!$B$27*Upgrades!$G$6/100))</f>
        <v/>
      </c>
      <c r="I52" s="8">
        <f>SUMPRODUCT(($A$6:$A$30=$A52)*$E$6:$E$30)/(AVERAGE(Ladrões!$I$12:$I$14)*(1+Config!$B$27*Upgrades!$G$6/100))</f>
        <v/>
      </c>
      <c r="J52" s="8">
        <f>SUMPRODUCT(($A$6:$A$30=$A52)*$E$6:$E$30)/(AVERAGE(Ladrões!$J$12:$J$14)*(1+Config!$B$27*Upgrades!$G$6/100))</f>
        <v/>
      </c>
      <c r="K52" s="8">
        <f>SUMPRODUCT(($A$6:$A$30=$A52)*$E$6:$E$30)/(AVERAGE(Ladrões!$K$12:$K$14)*(1+Config!$B$27*Upgrades!$G$6/100))</f>
        <v/>
      </c>
    </row>
    <row r="53">
      <c r="A53" s="2" t="inlineStr">
        <is>
          <t>Cassino Clandestino</t>
        </is>
      </c>
      <c r="B53" s="8">
        <f>SUMPRODUCT(($A$6:$A$30=$A53)*$E$6:$E$30)/(AVERAGE(Ladrões!$B$12:$B$14)*(1+Config!$B$27*Upgrades!$G$6/100))</f>
        <v/>
      </c>
      <c r="C53" s="8">
        <f>SUMPRODUCT(($A$6:$A$30=$A53)*$E$6:$E$30)/(AVERAGE(Ladrões!$C$12:$C$14)*(1+Config!$B$27*Upgrades!$G$6/100))</f>
        <v/>
      </c>
      <c r="D53" s="8">
        <f>SUMPRODUCT(($A$6:$A$30=$A53)*$E$6:$E$30)/(AVERAGE(Ladrões!$D$12:$D$14)*(1+Config!$B$27*Upgrades!$G$6/100))</f>
        <v/>
      </c>
      <c r="E53" s="8">
        <f>SUMPRODUCT(($A$6:$A$30=$A53)*$E$6:$E$30)/(AVERAGE(Ladrões!$E$12:$E$14)*(1+Config!$B$27*Upgrades!$G$6/100))</f>
        <v/>
      </c>
      <c r="F53" s="8">
        <f>SUMPRODUCT(($A$6:$A$30=$A53)*$E$6:$E$30)/(AVERAGE(Ladrões!$F$12:$F$14)*(1+Config!$B$27*Upgrades!$G$6/100))</f>
        <v/>
      </c>
      <c r="G53" s="8">
        <f>SUMPRODUCT(($A$6:$A$30=$A53)*$E$6:$E$30)/(AVERAGE(Ladrões!$G$12:$G$14)*(1+Config!$B$27*Upgrades!$G$6/100))</f>
        <v/>
      </c>
      <c r="H53" s="8">
        <f>SUMPRODUCT(($A$6:$A$30=$A53)*$E$6:$E$30)/(AVERAGE(Ladrões!$H$12:$H$14)*(1+Config!$B$27*Upgrades!$G$6/100))</f>
        <v/>
      </c>
      <c r="I53" s="8">
        <f>SUMPRODUCT(($A$6:$A$30=$A53)*$E$6:$E$30)/(AVERAGE(Ladrões!$I$12:$I$14)*(1+Config!$B$27*Upgrades!$G$6/100))</f>
        <v/>
      </c>
      <c r="J53" s="8">
        <f>SUMPRODUCT(($A$6:$A$30=$A53)*$E$6:$E$30)/(AVERAGE(Ladrões!$J$12:$J$14)*(1+Config!$B$27*Upgrades!$G$6/100))</f>
        <v/>
      </c>
      <c r="K53" s="8">
        <f>SUMPRODUCT(($A$6:$A$30=$A53)*$E$6:$E$30)/(AVERAGE(Ladrões!$K$12:$K$14)*(1+Config!$B$27*Upgrades!$G$6/100))</f>
        <v/>
      </c>
    </row>
    <row r="54">
      <c r="A54" s="2" t="inlineStr">
        <is>
          <t>Banco Central de Nova Guanabara</t>
        </is>
      </c>
      <c r="B54" s="8">
        <f>SUMPRODUCT(($A$6:$A$30=$A54)*$E$6:$E$30)/(AVERAGE(Ladrões!$B$12:$B$14)*(1+Config!$B$27*Upgrades!$G$6/100))</f>
        <v/>
      </c>
      <c r="C54" s="8">
        <f>SUMPRODUCT(($A$6:$A$30=$A54)*$E$6:$E$30)/(AVERAGE(Ladrões!$C$12:$C$14)*(1+Config!$B$27*Upgrades!$G$6/100))</f>
        <v/>
      </c>
      <c r="D54" s="8">
        <f>SUMPRODUCT(($A$6:$A$30=$A54)*$E$6:$E$30)/(AVERAGE(Ladrões!$D$12:$D$14)*(1+Config!$B$27*Upgrades!$G$6/100))</f>
        <v/>
      </c>
      <c r="E54" s="8">
        <f>SUMPRODUCT(($A$6:$A$30=$A54)*$E$6:$E$30)/(AVERAGE(Ladrões!$E$12:$E$14)*(1+Config!$B$27*Upgrades!$G$6/100))</f>
        <v/>
      </c>
      <c r="F54" s="8">
        <f>SUMPRODUCT(($A$6:$A$30=$A54)*$E$6:$E$30)/(AVERAGE(Ladrões!$F$12:$F$14)*(1+Config!$B$27*Upgrades!$G$6/100))</f>
        <v/>
      </c>
      <c r="G54" s="8">
        <f>SUMPRODUCT(($A$6:$A$30=$A54)*$E$6:$E$30)/(AVERAGE(Ladrões!$G$12:$G$14)*(1+Config!$B$27*Upgrades!$G$6/100))</f>
        <v/>
      </c>
      <c r="H54" s="8">
        <f>SUMPRODUCT(($A$6:$A$30=$A54)*$E$6:$E$30)/(AVERAGE(Ladrões!$H$12:$H$14)*(1+Config!$B$27*Upgrades!$G$6/100))</f>
        <v/>
      </c>
      <c r="I54" s="8">
        <f>SUMPRODUCT(($A$6:$A$30=$A54)*$E$6:$E$30)/(AVERAGE(Ladrões!$I$12:$I$14)*(1+Config!$B$27*Upgrades!$G$6/100))</f>
        <v/>
      </c>
      <c r="J54" s="8">
        <f>SUMPRODUCT(($A$6:$A$30=$A54)*$E$6:$E$30)/(AVERAGE(Ladrões!$J$12:$J$14)*(1+Config!$B$27*Upgrades!$G$6/100))</f>
        <v/>
      </c>
      <c r="K54" s="8">
        <f>SUMPRODUCT(($A$6:$A$30=$A54)*$E$6:$E$30)/(AVERAGE(Ladrões!$K$12:$K$14)*(1+Config!$B$27*Upgrades!$G$6/100))</f>
        <v/>
      </c>
    </row>
    <row r="55">
      <c r="A55" s="4" t="inlineStr">
        <is>
          <t>As habilidades ajudam a passar dos 100: Lábia −25, Loop na câmera 15 s sem alerta, Pé-de-cabra limpa uma sala de Fechadura (+15).</t>
        </is>
      </c>
    </row>
  </sheetData>
  <conditionalFormatting sqref="J6:J30">
    <cfRule type="cellIs" priority="1" operator="greaterThanOrEqual" dxfId="0">
      <formula>100</formula>
    </cfRule>
  </conditionalFormatting>
  <conditionalFormatting sqref="E35:E39">
    <cfRule type="cellIs" priority="2" operator="greaterThanOrEqual" dxfId="0">
      <formula>100</formula>
    </cfRule>
    <cfRule type="cellIs" priority="3" operator="lessThan" dxfId="1">
      <formula>100</formula>
    </cfRule>
  </conditionalFormatting>
  <conditionalFormatting sqref="B43:K47">
    <cfRule type="cellIs" priority="4" operator="greaterThanOrEqual" dxfId="0">
      <formula>100</formula>
    </cfRule>
    <cfRule type="cellIs" priority="5" operator="lessThan" dxfId="1">
      <formula>100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Renda dos bicos e ganho offline</t>
        </is>
      </c>
    </row>
    <row r="3">
      <c r="A3" s="2" t="inlineStr">
        <is>
          <t>Renda base do bico (Cr$/s)</t>
        </is>
      </c>
      <c r="B3" s="6" t="n">
        <v>3</v>
      </c>
    </row>
    <row r="4">
      <c r="A4" s="2" t="inlineStr">
        <is>
          <t>Multiplicador do tipo certo</t>
        </is>
      </c>
      <c r="B4" s="6" t="n">
        <v>2</v>
      </c>
    </row>
    <row r="5">
      <c r="A5" s="2" t="inlineStr">
        <is>
          <t>Bônus por nível do ladrão</t>
        </is>
      </c>
      <c r="B5" s="16" t="n">
        <v>0.1</v>
      </c>
    </row>
    <row r="6">
      <c r="A6" s="2" t="inlineStr">
        <is>
          <t>Ponto de bico (+%)</t>
        </is>
      </c>
      <c r="B6" s="17">
        <f>Config!$B$30*Upgrades!$G$12</f>
        <v/>
      </c>
    </row>
    <row r="8">
      <c r="A8" s="5" t="inlineStr">
        <is>
          <t>Nível do ladrão</t>
        </is>
      </c>
      <c r="B8" s="5" t="inlineStr">
        <is>
          <t>Tipo errado (Cr$/s)</t>
        </is>
      </c>
      <c r="C8" s="5" t="inlineStr">
        <is>
          <t>Tipo certo (Cr$/s)</t>
        </is>
      </c>
      <c r="D8" s="5" t="inlineStr">
        <is>
          <t>Tipo certo (Cr$/min)</t>
        </is>
      </c>
    </row>
    <row r="9">
      <c r="A9" s="2" t="n">
        <v>1</v>
      </c>
      <c r="B9" s="18">
        <f>$B$3*(1+$B$5*(A9-1))*(1+$B$6/100)</f>
        <v/>
      </c>
      <c r="C9" s="18">
        <f>B9*$B$4</f>
        <v/>
      </c>
      <c r="D9" s="11">
        <f>C9*60</f>
        <v/>
      </c>
    </row>
    <row r="10">
      <c r="A10" s="2" t="n">
        <v>2</v>
      </c>
      <c r="B10" s="18">
        <f>$B$3*(1+$B$5*(A10-1))*(1+$B$6/100)</f>
        <v/>
      </c>
      <c r="C10" s="18">
        <f>B10*$B$4</f>
        <v/>
      </c>
      <c r="D10" s="11">
        <f>C10*60</f>
        <v/>
      </c>
    </row>
    <row r="11">
      <c r="A11" s="2" t="n">
        <v>3</v>
      </c>
      <c r="B11" s="18">
        <f>$B$3*(1+$B$5*(A11-1))*(1+$B$6/100)</f>
        <v/>
      </c>
      <c r="C11" s="18">
        <f>B11*$B$4</f>
        <v/>
      </c>
      <c r="D11" s="11">
        <f>C11*60</f>
        <v/>
      </c>
    </row>
    <row r="12">
      <c r="A12" s="2" t="n">
        <v>4</v>
      </c>
      <c r="B12" s="18">
        <f>$B$3*(1+$B$5*(A12-1))*(1+$B$6/100)</f>
        <v/>
      </c>
      <c r="C12" s="18">
        <f>B12*$B$4</f>
        <v/>
      </c>
      <c r="D12" s="11">
        <f>C12*60</f>
        <v/>
      </c>
    </row>
    <row r="13">
      <c r="A13" s="2" t="n">
        <v>5</v>
      </c>
      <c r="B13" s="18">
        <f>$B$3*(1+$B$5*(A13-1))*(1+$B$6/100)</f>
        <v/>
      </c>
      <c r="C13" s="18">
        <f>B13*$B$4</f>
        <v/>
      </c>
      <c r="D13" s="11">
        <f>C13*60</f>
        <v/>
      </c>
    </row>
    <row r="14">
      <c r="A14" s="2" t="n">
        <v>6</v>
      </c>
      <c r="B14" s="18">
        <f>$B$3*(1+$B$5*(A14-1))*(1+$B$6/100)</f>
        <v/>
      </c>
      <c r="C14" s="18">
        <f>B14*$B$4</f>
        <v/>
      </c>
      <c r="D14" s="11">
        <f>C14*60</f>
        <v/>
      </c>
    </row>
    <row r="15">
      <c r="A15" s="2" t="n">
        <v>7</v>
      </c>
      <c r="B15" s="18">
        <f>$B$3*(1+$B$5*(A15-1))*(1+$B$6/100)</f>
        <v/>
      </c>
      <c r="C15" s="18">
        <f>B15*$B$4</f>
        <v/>
      </c>
      <c r="D15" s="11">
        <f>C15*60</f>
        <v/>
      </c>
    </row>
    <row r="16">
      <c r="A16" s="2" t="n">
        <v>8</v>
      </c>
      <c r="B16" s="18">
        <f>$B$3*(1+$B$5*(A16-1))*(1+$B$6/100)</f>
        <v/>
      </c>
      <c r="C16" s="18">
        <f>B16*$B$4</f>
        <v/>
      </c>
      <c r="D16" s="11">
        <f>C16*60</f>
        <v/>
      </c>
    </row>
    <row r="17">
      <c r="A17" s="2" t="n">
        <v>9</v>
      </c>
      <c r="B17" s="18">
        <f>$B$3*(1+$B$5*(A17-1))*(1+$B$6/100)</f>
        <v/>
      </c>
      <c r="C17" s="18">
        <f>B17*$B$4</f>
        <v/>
      </c>
      <c r="D17" s="11">
        <f>C17*60</f>
        <v/>
      </c>
    </row>
    <row r="18">
      <c r="A18" s="2" t="n">
        <v>10</v>
      </c>
      <c r="B18" s="18">
        <f>$B$3*(1+$B$5*(A18-1))*(1+$B$6/100)</f>
        <v/>
      </c>
      <c r="C18" s="18">
        <f>B18*$B$4</f>
        <v/>
      </c>
      <c r="D18" s="11">
        <f>C18*60</f>
        <v/>
      </c>
    </row>
    <row r="20">
      <c r="A20" s="2" t="inlineStr">
        <is>
          <t>Catar latinha (Cr$/s)</t>
        </is>
      </c>
      <c r="B20" s="19">
        <f>Config!$B$17*(1+$B$6/100)</f>
        <v/>
      </c>
    </row>
    <row r="22">
      <c r="A22" s="3" t="inlineStr">
        <is>
          <t>Ganho offline</t>
        </is>
      </c>
    </row>
    <row r="23">
      <c r="A23" s="5" t="inlineStr">
        <is>
          <t>Horas fora</t>
        </is>
      </c>
      <c r="B23" s="5" t="inlineStr">
        <is>
          <t>Renda/s ao sair</t>
        </is>
      </c>
      <c r="C23" s="5" t="inlineStr">
        <is>
          <t>Ganho</t>
        </is>
      </c>
    </row>
    <row r="24">
      <c r="A24" s="6" t="n">
        <v>0.5</v>
      </c>
      <c r="B24" s="18">
        <f>B20+2*C11</f>
        <v/>
      </c>
      <c r="C24" s="11">
        <f>B24*MIN(A24,Config!$B$18)*3600*Config!$B$19</f>
        <v/>
      </c>
    </row>
    <row r="25">
      <c r="A25" s="6" t="n">
        <v>1</v>
      </c>
      <c r="B25" s="18">
        <f>B20+2*C11</f>
        <v/>
      </c>
      <c r="C25" s="11">
        <f>B25*MIN(A25,Config!$B$18)*3600*Config!$B$19</f>
        <v/>
      </c>
    </row>
    <row r="26">
      <c r="A26" s="6" t="n">
        <v>2</v>
      </c>
      <c r="B26" s="18">
        <f>B20+2*C11</f>
        <v/>
      </c>
      <c r="C26" s="11">
        <f>B26*MIN(A26,Config!$B$18)*3600*Config!$B$19</f>
        <v/>
      </c>
    </row>
    <row r="27">
      <c r="A27" s="6" t="n">
        <v>4</v>
      </c>
      <c r="B27" s="18">
        <f>B20+2*C11</f>
        <v/>
      </c>
      <c r="C27" s="11">
        <f>B27*MIN(A27,Config!$B$18)*3600*Config!$B$19</f>
        <v/>
      </c>
    </row>
    <row r="28">
      <c r="A28" s="6" t="n">
        <v>8</v>
      </c>
      <c r="B28" s="18">
        <f>B20+2*C11</f>
        <v/>
      </c>
      <c r="C28" s="11">
        <f>B28*MIN(A28,Config!$B$18)*3600*Config!$B$19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Recruta: custo = base × crescimento^(nível − 1)</t>
        </is>
      </c>
    </row>
    <row r="3">
      <c r="A3" s="5" t="inlineStr">
        <is>
          <t>Nível do recruta</t>
        </is>
      </c>
      <c r="B3" s="5" t="inlineStr">
        <is>
          <t>Custo</t>
        </is>
      </c>
    </row>
    <row r="4">
      <c r="A4" s="2" t="n">
        <v>1</v>
      </c>
      <c r="B4" s="11">
        <f>ROUND(Config!$B$15*Config!$B$16^(A4-1),0)</f>
        <v/>
      </c>
    </row>
    <row r="5">
      <c r="A5" s="2" t="n">
        <v>2</v>
      </c>
      <c r="B5" s="11">
        <f>ROUND(Config!$B$15*Config!$B$16^(A5-1),0)</f>
        <v/>
      </c>
    </row>
    <row r="6">
      <c r="A6" s="2" t="n">
        <v>3</v>
      </c>
      <c r="B6" s="11">
        <f>ROUND(Config!$B$15*Config!$B$16^(A6-1),0)</f>
        <v/>
      </c>
    </row>
    <row r="7">
      <c r="A7" s="2" t="n">
        <v>4</v>
      </c>
      <c r="B7" s="11">
        <f>ROUND(Config!$B$15*Config!$B$16^(A7-1),0)</f>
        <v/>
      </c>
    </row>
    <row r="8">
      <c r="A8" s="2" t="n">
        <v>5</v>
      </c>
      <c r="B8" s="11">
        <f>ROUND(Config!$B$15*Config!$B$16^(A8-1),0)</f>
        <v/>
      </c>
    </row>
    <row r="9">
      <c r="A9" s="2" t="n">
        <v>6</v>
      </c>
      <c r="B9" s="11">
        <f>ROUND(Config!$B$15*Config!$B$16^(A9-1),0)</f>
        <v/>
      </c>
    </row>
    <row r="11">
      <c r="A11" s="4" t="inlineStr">
        <is>
          <t>Nível sorteado vai de 1 a 1 + Contatos (Fama Lenda soma de graça).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  <col width="60" customWidth="1" min="5" max="5"/>
  </cols>
  <sheetData>
    <row r="1">
      <c r="A1" s="1" t="inlineStr">
        <is>
          <t>Curva até o Banco Central: metas × simulação</t>
        </is>
      </c>
    </row>
    <row r="2">
      <c r="A2" s="4" t="inlineStr">
        <is>
          <t>Fonte: docs/balanceamento/simulador.py em 25/10/2026 (jogador perfeito: é o piso; o playtest #43 dá o tempo real).</t>
        </is>
      </c>
    </row>
    <row r="4">
      <c r="A4" s="5" t="inlineStr">
        <is>
          <t>Marco</t>
        </is>
      </c>
      <c r="B4" s="5" t="inlineStr">
        <is>
          <t>Meta (min)</t>
        </is>
      </c>
      <c r="C4" s="5" t="inlineStr">
        <is>
          <t>Antes (v0)</t>
        </is>
      </c>
      <c r="D4" s="5" t="inlineStr">
        <is>
          <t>v1 com habilidades</t>
        </is>
      </c>
      <c r="E4" s="5" t="inlineStr">
        <is>
          <t>v1 sem habilidades</t>
        </is>
      </c>
    </row>
    <row r="5">
      <c r="A5" s="2" t="inlineStr">
        <is>
          <t>Lotérica concluída (Joalheria liberada)</t>
        </is>
      </c>
      <c r="B5" s="2" t="inlineStr">
        <is>
          <t>~3 (com tutorial)</t>
        </is>
      </c>
      <c r="C5" s="15" t="n">
        <v>0.8</v>
      </c>
      <c r="D5" s="15" t="n">
        <v>0.8</v>
      </c>
      <c r="E5" s="15" t="n">
        <v>1</v>
      </c>
    </row>
    <row r="6">
      <c r="A6" s="2" t="inlineStr">
        <is>
          <t>Joalheria concluída (Câmbio liberado)</t>
        </is>
      </c>
      <c r="B6" s="2" t="inlineStr">
        <is>
          <t>~10</t>
        </is>
      </c>
      <c r="C6" s="15" t="n">
        <v>2.2</v>
      </c>
      <c r="D6" s="15" t="n">
        <v>3.8</v>
      </c>
      <c r="E6" s="15" t="n">
        <v>11.4</v>
      </c>
    </row>
    <row r="7">
      <c r="A7" s="2" t="inlineStr">
        <is>
          <t>Câmbio concluído (Cassino liberado)</t>
        </is>
      </c>
      <c r="B7" s="2" t="inlineStr">
        <is>
          <t>~20</t>
        </is>
      </c>
      <c r="C7" s="15" t="n">
        <v>5.6</v>
      </c>
      <c r="D7" s="15" t="n">
        <v>12.1</v>
      </c>
      <c r="E7" s="15" t="n">
        <v>36.5</v>
      </c>
    </row>
    <row r="8">
      <c r="A8" s="2" t="inlineStr">
        <is>
          <t>Cassino concluído</t>
        </is>
      </c>
      <c r="B8" s="2" t="inlineStr">
        <is>
          <t>—</t>
        </is>
      </c>
      <c r="C8" s="15" t="n">
        <v>55.6</v>
      </c>
      <c r="D8" s="15" t="n">
        <v>26.1</v>
      </c>
      <c r="E8" s="15" t="n">
        <v>74.40000000000001</v>
      </c>
    </row>
    <row r="9">
      <c r="A9" s="2" t="inlineStr">
        <is>
          <t>Banco Central concluído (1º prestígio)</t>
        </is>
      </c>
      <c r="B9" s="2" t="inlineStr">
        <is>
          <t>40–60</t>
        </is>
      </c>
      <c r="C9" s="2" t="inlineStr">
        <is>
          <t>não conclui em 120</t>
        </is>
      </c>
      <c r="D9" s="15" t="n">
        <v>48.8</v>
      </c>
      <c r="E9" s="15" t="n">
        <v>88.40000000000001</v>
      </c>
    </row>
    <row r="11">
      <c r="A11" s="3" t="inlineStr">
        <is>
          <t>O que mudou do v0 pro v1 (HeistDef)</t>
        </is>
      </c>
    </row>
    <row r="12">
      <c r="A12" s="5" t="inlineStr">
        <is>
          <t>Golpe</t>
        </is>
      </c>
      <c r="B12" s="5" t="inlineStr">
        <is>
          <t>Dificuldade</t>
        </is>
      </c>
      <c r="C12" s="5" t="inlineStr">
        <is>
          <t>Alerta/s</t>
        </is>
      </c>
      <c r="D12" s="5" t="inlineStr">
        <is>
          <t>Por quê</t>
        </is>
      </c>
    </row>
    <row r="13">
      <c r="A13" s="2" t="inlineStr">
        <is>
          <t>Joalheria</t>
        </is>
      </c>
      <c r="B13" s="2" t="inlineStr">
        <is>
          <t>×1,6</t>
        </is>
      </c>
      <c r="C13" s="2" t="inlineStr">
        <is>
          <t>igual</t>
        </is>
      </c>
      <c r="D13" s="2" t="inlineStr">
        <is>
          <t>Câmbio liberava em 2 min; agora pede subir de nível antes</t>
        </is>
      </c>
    </row>
    <row r="14">
      <c r="A14" s="2" t="inlineStr">
        <is>
          <t>Câmbio</t>
        </is>
      </c>
      <c r="B14" s="2" t="inlineStr">
        <is>
          <t>×1,4</t>
        </is>
      </c>
      <c r="C14" s="2" t="inlineStr">
        <is>
          <t>igual</t>
        </is>
      </c>
      <c r="D14" s="2" t="inlineStr">
        <is>
          <t>Mesmo motivo: o meio do jogo passava rápido demais</t>
        </is>
      </c>
    </row>
    <row r="15">
      <c r="A15" s="2" t="inlineStr">
        <is>
          <t>Cassino</t>
        </is>
      </c>
      <c r="B15" s="2" t="inlineStr">
        <is>
          <t>×0,9</t>
        </is>
      </c>
      <c r="C15" s="2" t="inlineStr">
        <is>
          <t>×0,8</t>
        </is>
      </c>
      <c r="D15" s="2" t="inlineStr">
        <is>
          <t>Parede: nem com tudo no máximo fechava sem sirene</t>
        </is>
      </c>
    </row>
    <row r="16">
      <c r="A16" s="2" t="inlineStr">
        <is>
          <t>Banco Central</t>
        </is>
      </c>
      <c r="B16" s="2" t="inlineStr">
        <is>
          <t>×0,6</t>
        </is>
      </c>
      <c r="C16" s="2" t="inlineStr">
        <is>
          <t>×0,7</t>
        </is>
      </c>
      <c r="D16" s="2" t="inlineStr">
        <is>
          <t>Salas de 22–36 s (regra é 5–20 s) e nunca era concluído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2026-10-25T16:00:36Z</dcterms:created>
  <dcterms:modified xsi:type="dcterms:W3CDTF">2026-10-25T16:00:36Z</dcterms:modified>
</cp:coreProperties>
</file>